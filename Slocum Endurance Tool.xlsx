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akvaplan.sharepoint.com/sites/company/12/l458/Teknisk dokumentasjon/Slocum G3/"/>
    </mc:Choice>
  </mc:AlternateContent>
  <xr:revisionPtr revIDLastSave="51" documentId="10_ncr:8000_{C26C5F4A-3FB4-4B1D-BDE6-1F82F255718A}" xr6:coauthVersionLast="47" xr6:coauthVersionMax="47" xr10:uidLastSave="{7FF44DC1-511C-4EB3-A4C8-FE989E821511}"/>
  <workbookProtection workbookPassword="C9FD" lockStructure="1"/>
  <bookViews>
    <workbookView xWindow="-110" yWindow="-110" windowWidth="19420" windowHeight="11500" tabRatio="373" firstSheet="2" activeTab="2" xr2:uid="{8650823E-9050-4C54-97DF-DC808BCA6F0E}"/>
  </bookViews>
  <sheets>
    <sheet name="Revision Info" sheetId="6" r:id="rId1"/>
    <sheet name="User Guide" sheetId="7" r:id="rId2"/>
    <sheet name="Glider Parameters" sheetId="5" r:id="rId3"/>
    <sheet name="Glider Model" sheetId="4" state="hidden" r:id="rId4"/>
  </sheets>
  <definedNames>
    <definedName name="GliderTypes">'Glider Model'!$D$122:$D$123</definedName>
    <definedName name="_xlnm.Print_Area" localSheetId="3">'Glider Model'!$A$1:$AA$96</definedName>
    <definedName name="_xlnm.Print_Area" localSheetId="2">'Glider Parameters'!$A$1:$M$54</definedName>
    <definedName name="_xlnm.Print_Area" localSheetId="1">'User Guide'!$A$1:$L$54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5" l="1"/>
  <c r="E30" i="5"/>
  <c r="I7" i="4"/>
  <c r="I8" i="4" s="1"/>
  <c r="K6" i="5"/>
  <c r="K7" i="5"/>
  <c r="K8" i="5" s="1"/>
  <c r="Q5" i="4" s="1"/>
  <c r="K9" i="5"/>
  <c r="H18" i="5"/>
  <c r="H24" i="5"/>
  <c r="E12" i="5"/>
  <c r="F113" i="4"/>
  <c r="F115" i="4"/>
  <c r="F116" i="4"/>
  <c r="Z25" i="4"/>
  <c r="M3" i="4"/>
  <c r="Z5" i="4" s="1"/>
  <c r="M9" i="4"/>
  <c r="E20" i="4" s="1"/>
  <c r="F20" i="4" s="1"/>
  <c r="Z79" i="4"/>
  <c r="Z88" i="4"/>
  <c r="Z85" i="4"/>
  <c r="Z36" i="4"/>
  <c r="W97" i="4"/>
  <c r="V98" i="4"/>
  <c r="V99" i="4"/>
  <c r="V97" i="4"/>
  <c r="E98" i="4"/>
  <c r="E99" i="4"/>
  <c r="E97" i="4"/>
  <c r="D98" i="4"/>
  <c r="F98" i="4"/>
  <c r="D99" i="4"/>
  <c r="F99" i="4"/>
  <c r="D97" i="4"/>
  <c r="F97" i="4"/>
  <c r="Z98" i="4"/>
  <c r="Z99" i="4"/>
  <c r="Z97" i="4"/>
  <c r="B97" i="4"/>
  <c r="Z35" i="4"/>
  <c r="Z34" i="4"/>
  <c r="K106" i="4"/>
  <c r="J106" i="4"/>
  <c r="R103" i="4"/>
  <c r="R107" i="4"/>
  <c r="R109" i="4"/>
  <c r="I106" i="4"/>
  <c r="F5" i="5"/>
  <c r="E27" i="5"/>
  <c r="Y16" i="4"/>
  <c r="X16" i="4"/>
  <c r="W99" i="4"/>
  <c r="Y99" i="4"/>
  <c r="W98" i="4"/>
  <c r="Y98" i="4"/>
  <c r="B99" i="4"/>
  <c r="B98" i="4"/>
  <c r="I10" i="4"/>
  <c r="Z37" i="4"/>
  <c r="M1" i="4"/>
  <c r="T2" i="4"/>
  <c r="M4" i="4"/>
  <c r="Q3" i="4"/>
  <c r="M5" i="4"/>
  <c r="M6" i="4"/>
  <c r="M7" i="4"/>
  <c r="N99" i="4" s="1"/>
  <c r="M8" i="4"/>
  <c r="Z8" i="4" s="1"/>
  <c r="A16" i="4"/>
  <c r="A17" i="4"/>
  <c r="A18" i="4"/>
  <c r="A19" i="4"/>
  <c r="A20" i="4"/>
  <c r="A21" i="4"/>
  <c r="A22" i="4"/>
  <c r="A23" i="4"/>
  <c r="A24" i="4"/>
  <c r="A25" i="4"/>
  <c r="A26" i="4"/>
  <c r="A27" i="4"/>
  <c r="A28" i="4"/>
  <c r="A29" i="4"/>
  <c r="A30" i="4"/>
  <c r="A31" i="4"/>
  <c r="A32" i="4"/>
  <c r="A33" i="4"/>
  <c r="A34" i="4"/>
  <c r="F18" i="4"/>
  <c r="J21" i="4"/>
  <c r="F23" i="4"/>
  <c r="J24" i="4"/>
  <c r="J26" i="4"/>
  <c r="Z26" i="4"/>
  <c r="M29" i="4"/>
  <c r="E30" i="4"/>
  <c r="F30" i="4"/>
  <c r="Z33" i="4"/>
  <c r="F36" i="4"/>
  <c r="Z38" i="4"/>
  <c r="Z39" i="4"/>
  <c r="Z40" i="4"/>
  <c r="G44" i="4"/>
  <c r="J44" i="4"/>
  <c r="Z44" i="4"/>
  <c r="D48" i="4"/>
  <c r="F48" i="4"/>
  <c r="H48" i="4"/>
  <c r="E49" i="4"/>
  <c r="D49" i="4"/>
  <c r="F49" i="4"/>
  <c r="F51" i="4"/>
  <c r="F52" i="4"/>
  <c r="K56" i="4"/>
  <c r="L56" i="4"/>
  <c r="M58" i="4"/>
  <c r="E61" i="4"/>
  <c r="D61" i="4"/>
  <c r="F61" i="4"/>
  <c r="E63" i="4"/>
  <c r="F63" i="4"/>
  <c r="E64" i="4"/>
  <c r="F65" i="4"/>
  <c r="J65" i="4"/>
  <c r="E68" i="4"/>
  <c r="F68" i="4"/>
  <c r="E69" i="4"/>
  <c r="F70" i="4"/>
  <c r="F71" i="4"/>
  <c r="E72" i="4"/>
  <c r="D72" i="4"/>
  <c r="F72" i="4"/>
  <c r="E73" i="4"/>
  <c r="D73" i="4"/>
  <c r="E75" i="4"/>
  <c r="D75" i="4"/>
  <c r="F75" i="4"/>
  <c r="E76" i="4"/>
  <c r="F76" i="4"/>
  <c r="D76" i="4"/>
  <c r="E77" i="4"/>
  <c r="D77" i="4"/>
  <c r="F77" i="4"/>
  <c r="F79" i="4"/>
  <c r="J79" i="4"/>
  <c r="F80" i="4"/>
  <c r="F81" i="4"/>
  <c r="J83" i="4"/>
  <c r="F84" i="4"/>
  <c r="K84" i="4"/>
  <c r="L84" i="4"/>
  <c r="F88" i="4"/>
  <c r="J88" i="4"/>
  <c r="M88" i="4"/>
  <c r="M56" i="4"/>
  <c r="N88" i="4"/>
  <c r="N56" i="4"/>
  <c r="F91" i="4"/>
  <c r="H91" i="4"/>
  <c r="F92" i="4"/>
  <c r="J93" i="4"/>
  <c r="H94" i="4"/>
  <c r="Z95" i="4"/>
  <c r="I9" i="4"/>
  <c r="Y97" i="4"/>
  <c r="R102" i="4"/>
  <c r="A35" i="4"/>
  <c r="A37" i="4"/>
  <c r="A38" i="4"/>
  <c r="A36" i="4"/>
  <c r="E57" i="4"/>
  <c r="F57" i="4"/>
  <c r="F64" i="4"/>
  <c r="F73"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39" i="4"/>
  <c r="D10" i="4"/>
  <c r="I3" i="4"/>
  <c r="I4" i="4"/>
  <c r="D29" i="4" s="1"/>
  <c r="Z9" i="4"/>
  <c r="R104" i="4"/>
  <c r="R106" i="4"/>
  <c r="R105" i="4"/>
  <c r="D67" i="4"/>
  <c r="D43" i="4"/>
  <c r="F43" i="4"/>
  <c r="D42" i="4"/>
  <c r="D54" i="4"/>
  <c r="F54" i="4"/>
  <c r="D34" i="4"/>
  <c r="F34" i="4"/>
  <c r="D21" i="4"/>
  <c r="F21" i="4"/>
  <c r="D78" i="4"/>
  <c r="D95" i="4"/>
  <c r="F95" i="4"/>
  <c r="D25" i="4"/>
  <c r="F25" i="4"/>
  <c r="D24" i="4"/>
  <c r="D44" i="4"/>
  <c r="D46" i="4"/>
  <c r="D38" i="4"/>
  <c r="F38" i="4"/>
  <c r="D40" i="4"/>
  <c r="F40" i="4"/>
  <c r="D20" i="4"/>
  <c r="D19" i="4"/>
  <c r="D55" i="4"/>
  <c r="E55" i="4"/>
  <c r="F55" i="4"/>
  <c r="D39" i="4"/>
  <c r="F39" i="4"/>
  <c r="D69" i="4"/>
  <c r="F69" i="4"/>
  <c r="D26" i="4"/>
  <c r="D94" i="4"/>
  <c r="F94" i="4"/>
  <c r="D37" i="4"/>
  <c r="F37" i="4"/>
  <c r="D85" i="4"/>
  <c r="F85" i="4"/>
  <c r="D50" i="4"/>
  <c r="D86" i="4"/>
  <c r="F86" i="4"/>
  <c r="D35" i="4"/>
  <c r="F35" i="4"/>
  <c r="D56" i="4"/>
  <c r="E56" i="4"/>
  <c r="F56" i="4"/>
  <c r="D28" i="4"/>
  <c r="D83" i="4"/>
  <c r="D66" i="4"/>
  <c r="D33" i="4"/>
  <c r="F33" i="4"/>
  <c r="D90" i="4"/>
  <c r="F90" i="4"/>
  <c r="I5" i="4"/>
  <c r="R108" i="4"/>
  <c r="R111" i="4"/>
  <c r="R112" i="4"/>
  <c r="R110" i="4"/>
  <c r="F50" i="4"/>
  <c r="J50" i="4"/>
  <c r="E93" i="4"/>
  <c r="F93" i="4"/>
  <c r="F78" i="4"/>
  <c r="J66" i="4"/>
  <c r="F66" i="4"/>
  <c r="E67" i="4"/>
  <c r="F67" i="4"/>
  <c r="E42" i="4"/>
  <c r="F42" i="4"/>
  <c r="K20" i="4" l="1"/>
  <c r="E83" i="4"/>
  <c r="F83" i="4" s="1"/>
  <c r="N24" i="4"/>
  <c r="N71" i="4"/>
  <c r="M71" i="4" s="1"/>
  <c r="N28" i="4"/>
  <c r="M28" i="4" s="1"/>
  <c r="N29" i="4"/>
  <c r="N75" i="4"/>
  <c r="N21" i="4"/>
  <c r="N81" i="4"/>
  <c r="N97" i="4"/>
  <c r="N94" i="4"/>
  <c r="N35" i="4"/>
  <c r="N36" i="4"/>
  <c r="N49" i="4"/>
  <c r="N34" i="4"/>
  <c r="N46" i="4"/>
  <c r="M46" i="4" s="1"/>
  <c r="N76" i="4"/>
  <c r="N51" i="4"/>
  <c r="N33" i="4"/>
  <c r="N78" i="4"/>
  <c r="N83" i="4"/>
  <c r="N19" i="4"/>
  <c r="N58" i="4" s="1"/>
  <c r="N74" i="4"/>
  <c r="N93" i="4"/>
  <c r="N38" i="4"/>
  <c r="N77" i="4"/>
  <c r="N52" i="4"/>
  <c r="M52" i="4" s="1"/>
  <c r="N98" i="4"/>
  <c r="N48" i="4"/>
  <c r="M94" i="4"/>
  <c r="N65" i="4"/>
  <c r="E60" i="4"/>
  <c r="K19" i="4"/>
  <c r="K18" i="4" s="1"/>
  <c r="K18" i="5"/>
  <c r="Q6" i="4"/>
  <c r="E46" i="4"/>
  <c r="E74" i="4" s="1"/>
  <c r="N55" i="4"/>
  <c r="N54" i="4"/>
  <c r="M54" i="4" s="1"/>
  <c r="N80" i="4"/>
  <c r="N40" i="4"/>
  <c r="N64" i="4"/>
  <c r="M64" i="4" s="1"/>
  <c r="N95" i="4"/>
  <c r="N61" i="4"/>
  <c r="N23" i="4"/>
  <c r="N90" i="4"/>
  <c r="N60" i="4"/>
  <c r="N25" i="4"/>
  <c r="N44" i="4"/>
  <c r="N68" i="4"/>
  <c r="M68" i="4" s="1"/>
  <c r="N37" i="4"/>
  <c r="N43" i="4"/>
  <c r="M43" i="4" s="1"/>
  <c r="M77" i="4"/>
  <c r="N79" i="4"/>
  <c r="M79" i="4" s="1"/>
  <c r="M26" i="4"/>
  <c r="N92" i="4"/>
  <c r="M92" i="4" s="1"/>
  <c r="N50" i="4"/>
  <c r="N86" i="4"/>
  <c r="M86" i="4" s="1"/>
  <c r="N20" i="4"/>
  <c r="N42" i="4"/>
  <c r="M42" i="4" s="1"/>
  <c r="M93" i="4"/>
  <c r="N69" i="4"/>
  <c r="N91" i="4"/>
  <c r="N57" i="4"/>
  <c r="M57" i="4" s="1"/>
  <c r="N70" i="4"/>
  <c r="M70" i="4" s="1"/>
  <c r="N39" i="4"/>
  <c r="N66" i="4"/>
  <c r="N84" i="4"/>
  <c r="Z3" i="4"/>
  <c r="M2" i="4"/>
  <c r="K10" i="5"/>
  <c r="K11" i="5" s="1"/>
  <c r="Q4" i="4"/>
  <c r="E19" i="4"/>
  <c r="Y45" i="4"/>
  <c r="D60" i="4" l="1"/>
  <c r="F60" i="4" s="1"/>
  <c r="K29" i="4"/>
  <c r="O29" i="4" s="1"/>
  <c r="K58" i="4"/>
  <c r="E28" i="4"/>
  <c r="F28" i="4" s="1"/>
  <c r="K12" i="5"/>
  <c r="F46" i="4"/>
  <c r="M75" i="4"/>
  <c r="M78" i="4"/>
  <c r="E29" i="4"/>
  <c r="F29" i="4" s="1"/>
  <c r="E58" i="4"/>
  <c r="D58" i="4" s="1"/>
  <c r="F58" i="4" s="1"/>
  <c r="F19" i="4"/>
  <c r="L77" i="4"/>
  <c r="O77" i="4" s="1"/>
  <c r="L86" i="4"/>
  <c r="K86" i="4" s="1"/>
  <c r="L43" i="4"/>
  <c r="K43" i="4" s="1"/>
  <c r="L44" i="4"/>
  <c r="K44" i="4" s="1"/>
  <c r="L29" i="4"/>
  <c r="O88" i="4"/>
  <c r="P88" i="4" s="1"/>
  <c r="S88" i="4" s="1"/>
  <c r="T96" i="4"/>
  <c r="L51" i="4"/>
  <c r="O51" i="4" s="1"/>
  <c r="P51" i="4" s="1"/>
  <c r="S51" i="4" s="1"/>
  <c r="L49" i="4"/>
  <c r="O49" i="4" s="1"/>
  <c r="O30" i="4"/>
  <c r="L23" i="4"/>
  <c r="O65" i="4"/>
  <c r="L19" i="4"/>
  <c r="O19" i="4" s="1"/>
  <c r="P19" i="4" s="1"/>
  <c r="S19" i="4" s="1"/>
  <c r="L99" i="4"/>
  <c r="K99" i="4" s="1"/>
  <c r="L76" i="4"/>
  <c r="O76" i="4" s="1"/>
  <c r="O26" i="4"/>
  <c r="L98" i="4"/>
  <c r="K98" i="4" s="1"/>
  <c r="O73" i="4"/>
  <c r="P73" i="4" s="1"/>
  <c r="S73" i="4" s="1"/>
  <c r="L85" i="4"/>
  <c r="O85" i="4" s="1"/>
  <c r="P85" i="4" s="1"/>
  <c r="S85" i="4" s="1"/>
  <c r="L50" i="4"/>
  <c r="O50" i="4" s="1"/>
  <c r="L79" i="4"/>
  <c r="K79" i="4" s="1"/>
  <c r="O84" i="4"/>
  <c r="P84" i="4" s="1"/>
  <c r="S84" i="4" s="1"/>
  <c r="L42" i="4"/>
  <c r="K42" i="4" s="1"/>
  <c r="L20" i="4"/>
  <c r="O20" i="4" s="1"/>
  <c r="P20" i="4" s="1"/>
  <c r="S20" i="4" s="1"/>
  <c r="L97" i="4"/>
  <c r="K97" i="4" s="1"/>
  <c r="O97" i="4" s="1"/>
  <c r="L38" i="4"/>
  <c r="K38" i="4" s="1"/>
  <c r="L57" i="4"/>
  <c r="K57" i="4" s="1"/>
  <c r="L70" i="4"/>
  <c r="K70" i="4" s="1"/>
  <c r="L40" i="4"/>
  <c r="K40" i="4" s="1"/>
  <c r="T62" i="4"/>
  <c r="L74" i="4"/>
  <c r="K74" i="4" s="1"/>
  <c r="L64" i="4"/>
  <c r="K64" i="4" s="1"/>
  <c r="L75" i="4"/>
  <c r="O75" i="4" s="1"/>
  <c r="L81" i="4"/>
  <c r="O81" i="4" s="1"/>
  <c r="L34" i="4"/>
  <c r="K34" i="4" s="1"/>
  <c r="L28" i="4"/>
  <c r="K28" i="4" s="1"/>
  <c r="T87" i="4"/>
  <c r="L52" i="4"/>
  <c r="K52" i="4" s="1"/>
  <c r="L37" i="4"/>
  <c r="K37" i="4" s="1"/>
  <c r="L68" i="4"/>
  <c r="K68" i="4" s="1"/>
  <c r="L78" i="4"/>
  <c r="L91" i="4"/>
  <c r="O91" i="4" s="1"/>
  <c r="L35" i="4"/>
  <c r="O63" i="4"/>
  <c r="P63" i="4" s="1"/>
  <c r="S63" i="4" s="1"/>
  <c r="L95" i="4"/>
  <c r="O95" i="4" s="1"/>
  <c r="L25" i="4"/>
  <c r="K25" i="4" s="1"/>
  <c r="O56" i="4"/>
  <c r="P56" i="4" s="1"/>
  <c r="S56" i="4" s="1"/>
  <c r="L21" i="4"/>
  <c r="O21" i="4" s="1"/>
  <c r="L48" i="4"/>
  <c r="O48" i="4" s="1"/>
  <c r="L93" i="4"/>
  <c r="O93" i="4" s="1"/>
  <c r="O67" i="4"/>
  <c r="P67" i="4" s="1"/>
  <c r="S67" i="4" s="1"/>
  <c r="L71" i="4"/>
  <c r="K71" i="4" s="1"/>
  <c r="L46" i="4"/>
  <c r="K46" i="4" s="1"/>
  <c r="O69" i="4"/>
  <c r="P69" i="4" s="1"/>
  <c r="S69" i="4" s="1"/>
  <c r="L36" i="4"/>
  <c r="K36" i="4" s="1"/>
  <c r="L90" i="4"/>
  <c r="O90" i="4" s="1"/>
  <c r="L24" i="4"/>
  <c r="K24" i="4" s="1"/>
  <c r="K23" i="4" s="1"/>
  <c r="O83" i="4"/>
  <c r="P83" i="4" s="1"/>
  <c r="S83" i="4" s="1"/>
  <c r="O80" i="4"/>
  <c r="L55" i="4"/>
  <c r="O55" i="4" s="1"/>
  <c r="O60" i="4"/>
  <c r="P60" i="4" s="1"/>
  <c r="S60" i="4" s="1"/>
  <c r="O66" i="4"/>
  <c r="P66" i="4" s="1"/>
  <c r="S66" i="4" s="1"/>
  <c r="L54" i="4"/>
  <c r="K54" i="4" s="1"/>
  <c r="T59" i="4"/>
  <c r="L61" i="4"/>
  <c r="O61" i="4" s="1"/>
  <c r="L72" i="4"/>
  <c r="O72" i="4" s="1"/>
  <c r="P72" i="4" s="1"/>
  <c r="S72" i="4" s="1"/>
  <c r="L33" i="4"/>
  <c r="L94" i="4"/>
  <c r="O94" i="4" s="1"/>
  <c r="L39" i="4"/>
  <c r="K39" i="4" s="1"/>
  <c r="L92" i="4"/>
  <c r="O92" i="4" s="1"/>
  <c r="D74" i="4"/>
  <c r="F74" i="4" s="1"/>
  <c r="O78" i="4" l="1"/>
  <c r="P78" i="4" s="1"/>
  <c r="S78" i="4" s="1"/>
  <c r="O42" i="4"/>
  <c r="R42" i="4" s="1"/>
  <c r="O40" i="4"/>
  <c r="P40" i="4" s="1"/>
  <c r="S40" i="4" s="1"/>
  <c r="O79" i="4"/>
  <c r="P79" i="4" s="1"/>
  <c r="S79" i="4" s="1"/>
  <c r="O98" i="4"/>
  <c r="P98" i="4" s="1"/>
  <c r="S98" i="4" s="1"/>
  <c r="O71" i="4"/>
  <c r="R71" i="4" s="1"/>
  <c r="O39" i="4"/>
  <c r="P39" i="4" s="1"/>
  <c r="S39" i="4" s="1"/>
  <c r="O23" i="4"/>
  <c r="P23" i="4" s="1"/>
  <c r="S23" i="4" s="1"/>
  <c r="O43" i="4"/>
  <c r="P43" i="4" s="1"/>
  <c r="S43" i="4" s="1"/>
  <c r="O38" i="4"/>
  <c r="P38" i="4" s="1"/>
  <c r="S38" i="4" s="1"/>
  <c r="O70" i="4"/>
  <c r="P70" i="4" s="1"/>
  <c r="S70" i="4" s="1"/>
  <c r="O36" i="4"/>
  <c r="P36" i="4" s="1"/>
  <c r="S36" i="4" s="1"/>
  <c r="O99" i="4"/>
  <c r="P99" i="4" s="1"/>
  <c r="S99" i="4" s="1"/>
  <c r="O25" i="4"/>
  <c r="R25" i="4" s="1"/>
  <c r="R95" i="4"/>
  <c r="P95" i="4"/>
  <c r="S95" i="4" s="1"/>
  <c r="R81" i="4"/>
  <c r="P81" i="4"/>
  <c r="S81" i="4" s="1"/>
  <c r="R75" i="4"/>
  <c r="P75" i="4"/>
  <c r="S75" i="4" s="1"/>
  <c r="T75" i="4" s="1"/>
  <c r="R61" i="4"/>
  <c r="P61" i="4"/>
  <c r="S61" i="4" s="1"/>
  <c r="R55" i="4"/>
  <c r="P55" i="4"/>
  <c r="S55" i="4" s="1"/>
  <c r="R97" i="4"/>
  <c r="P97" i="4"/>
  <c r="S97" i="4" s="1"/>
  <c r="R91" i="4"/>
  <c r="P91" i="4"/>
  <c r="S91" i="4" s="1"/>
  <c r="R77" i="4"/>
  <c r="R76" i="4"/>
  <c r="O34" i="4"/>
  <c r="K33" i="4"/>
  <c r="R72" i="4"/>
  <c r="T72" i="4" s="1"/>
  <c r="Q72" i="4"/>
  <c r="R85" i="4"/>
  <c r="T85" i="4" s="1"/>
  <c r="Q85" i="4"/>
  <c r="O24" i="4"/>
  <c r="R50" i="4"/>
  <c r="R30" i="4"/>
  <c r="R20" i="4"/>
  <c r="T20" i="4" s="1"/>
  <c r="Q20" i="4"/>
  <c r="P76" i="4"/>
  <c r="S76" i="4" s="1"/>
  <c r="O68" i="4"/>
  <c r="R26" i="4"/>
  <c r="O52" i="4"/>
  <c r="Q63" i="4"/>
  <c r="R63" i="4"/>
  <c r="T63" i="4" s="1"/>
  <c r="P26" i="4"/>
  <c r="S26" i="4" s="1"/>
  <c r="P30" i="4"/>
  <c r="S30" i="4" s="1"/>
  <c r="O28" i="4"/>
  <c r="R93" i="4"/>
  <c r="R48" i="4"/>
  <c r="R21" i="4"/>
  <c r="P48" i="4"/>
  <c r="S48" i="4" s="1"/>
  <c r="R66" i="4"/>
  <c r="T66" i="4" s="1"/>
  <c r="Q66" i="4"/>
  <c r="R69" i="4"/>
  <c r="T69" i="4" s="1"/>
  <c r="Q69" i="4"/>
  <c r="Q67" i="4"/>
  <c r="R67" i="4"/>
  <c r="T67" i="4" s="1"/>
  <c r="O64" i="4"/>
  <c r="R90" i="4"/>
  <c r="Q60" i="4"/>
  <c r="R60" i="4"/>
  <c r="T60" i="4" s="1"/>
  <c r="R49" i="4"/>
  <c r="P90" i="4"/>
  <c r="S90" i="4" s="1"/>
  <c r="O37" i="4"/>
  <c r="O74" i="4"/>
  <c r="R74" i="4" s="1"/>
  <c r="S82" i="4"/>
  <c r="R78" i="4"/>
  <c r="T78" i="4" s="1"/>
  <c r="P93" i="4"/>
  <c r="S93" i="4" s="1"/>
  <c r="P77" i="4"/>
  <c r="S77" i="4" s="1"/>
  <c r="Q19" i="4"/>
  <c r="R19" i="4"/>
  <c r="T19" i="4" s="1"/>
  <c r="R80" i="4"/>
  <c r="O44" i="4"/>
  <c r="R56" i="4"/>
  <c r="T56" i="4" s="1"/>
  <c r="Q56" i="4"/>
  <c r="P50" i="4"/>
  <c r="S50" i="4" s="1"/>
  <c r="O46" i="4"/>
  <c r="Q84" i="4"/>
  <c r="R84" i="4"/>
  <c r="T84" i="4" s="1"/>
  <c r="O86" i="4"/>
  <c r="R94" i="4"/>
  <c r="R65" i="4"/>
  <c r="P94" i="4"/>
  <c r="S94" i="4" s="1"/>
  <c r="O54" i="4"/>
  <c r="P21" i="4"/>
  <c r="S21" i="4" s="1"/>
  <c r="R83" i="4"/>
  <c r="Q83" i="4"/>
  <c r="R92" i="4"/>
  <c r="R29" i="4"/>
  <c r="P80" i="4"/>
  <c r="S80" i="4" s="1"/>
  <c r="P49" i="4"/>
  <c r="S49" i="4" s="1"/>
  <c r="P65" i="4"/>
  <c r="S65" i="4" s="1"/>
  <c r="R51" i="4"/>
  <c r="T51" i="4" s="1"/>
  <c r="Q51" i="4"/>
  <c r="P92" i="4"/>
  <c r="S92" i="4" s="1"/>
  <c r="O57" i="4"/>
  <c r="P29" i="4"/>
  <c r="S29" i="4" s="1"/>
  <c r="Q73" i="4"/>
  <c r="R73" i="4"/>
  <c r="T73" i="4" s="1"/>
  <c r="L18" i="4"/>
  <c r="O18" i="4" s="1"/>
  <c r="L58" i="4"/>
  <c r="O58" i="4" s="1"/>
  <c r="R58" i="4" s="1"/>
  <c r="R88" i="4"/>
  <c r="T88" i="4" s="1"/>
  <c r="Q88" i="4"/>
  <c r="Q78" i="4" l="1"/>
  <c r="R23" i="4"/>
  <c r="P42" i="4"/>
  <c r="S42" i="4" s="1"/>
  <c r="T42" i="4" s="1"/>
  <c r="Q79" i="4"/>
  <c r="R79" i="4"/>
  <c r="T79" i="4" s="1"/>
  <c r="R43" i="4"/>
  <c r="T43" i="4" s="1"/>
  <c r="R40" i="4"/>
  <c r="T40" i="4" s="1"/>
  <c r="R70" i="4"/>
  <c r="T70" i="4" s="1"/>
  <c r="R38" i="4"/>
  <c r="T38" i="4" s="1"/>
  <c r="T97" i="4"/>
  <c r="Q43" i="4"/>
  <c r="Q93" i="4"/>
  <c r="R36" i="4"/>
  <c r="T36" i="4" s="1"/>
  <c r="Y36" i="4"/>
  <c r="Q38" i="4"/>
  <c r="Q36" i="4"/>
  <c r="R99" i="4"/>
  <c r="T99" i="4" s="1"/>
  <c r="Q65" i="4"/>
  <c r="Y38" i="4"/>
  <c r="P71" i="4"/>
  <c r="S71" i="4" s="1"/>
  <c r="T71" i="4" s="1"/>
  <c r="Q81" i="4"/>
  <c r="T29" i="4"/>
  <c r="R39" i="4"/>
  <c r="T39" i="4" s="1"/>
  <c r="Q55" i="4"/>
  <c r="R98" i="4"/>
  <c r="T98" i="4" s="1"/>
  <c r="Q98" i="4"/>
  <c r="R82" i="4"/>
  <c r="T50" i="4"/>
  <c r="Q30" i="4"/>
  <c r="Q49" i="4"/>
  <c r="Q23" i="4"/>
  <c r="T92" i="4"/>
  <c r="Q76" i="4"/>
  <c r="Q61" i="4"/>
  <c r="T80" i="4"/>
  <c r="T77" i="4"/>
  <c r="Q39" i="4"/>
  <c r="P25" i="4"/>
  <c r="S25" i="4" s="1"/>
  <c r="T25" i="4" s="1"/>
  <c r="Q21" i="4"/>
  <c r="T94" i="4"/>
  <c r="Q26" i="4"/>
  <c r="T93" i="4"/>
  <c r="T90" i="4"/>
  <c r="S89" i="4"/>
  <c r="R44" i="4"/>
  <c r="Y44" i="4"/>
  <c r="P44" i="4"/>
  <c r="S44" i="4" s="1"/>
  <c r="Q75" i="4"/>
  <c r="K35" i="4"/>
  <c r="O35" i="4" s="1"/>
  <c r="O33" i="4"/>
  <c r="T65" i="4"/>
  <c r="Q94" i="4"/>
  <c r="T83" i="4"/>
  <c r="T82" i="4" s="1"/>
  <c r="R89" i="4"/>
  <c r="R68" i="4"/>
  <c r="P68" i="4"/>
  <c r="S68" i="4" s="1"/>
  <c r="Q77" i="4"/>
  <c r="T55" i="4"/>
  <c r="T81" i="4"/>
  <c r="T49" i="4"/>
  <c r="Q90" i="4"/>
  <c r="Q48" i="4"/>
  <c r="T48" i="4"/>
  <c r="Q50" i="4"/>
  <c r="Q70" i="4"/>
  <c r="P34" i="4"/>
  <c r="R34" i="4"/>
  <c r="Q92" i="4"/>
  <c r="P58" i="4"/>
  <c r="S58" i="4" s="1"/>
  <c r="T58" i="4" s="1"/>
  <c r="R86" i="4"/>
  <c r="P86" i="4"/>
  <c r="S86" i="4" s="1"/>
  <c r="Q80" i="4"/>
  <c r="Q99" i="4"/>
  <c r="R24" i="4"/>
  <c r="R22" i="4" s="1"/>
  <c r="P24" i="4"/>
  <c r="S24" i="4" s="1"/>
  <c r="T61" i="4"/>
  <c r="R46" i="4"/>
  <c r="P46" i="4"/>
  <c r="S46" i="4" s="1"/>
  <c r="Q29" i="4"/>
  <c r="R64" i="4"/>
  <c r="P64" i="4"/>
  <c r="S64" i="4" s="1"/>
  <c r="R18" i="4"/>
  <c r="R17" i="4" s="1"/>
  <c r="P18" i="4"/>
  <c r="S18" i="4" s="1"/>
  <c r="P74" i="4"/>
  <c r="S74" i="4" s="1"/>
  <c r="T74" i="4" s="1"/>
  <c r="Q40" i="4"/>
  <c r="R28" i="4"/>
  <c r="R27" i="4" s="1"/>
  <c r="P28" i="4"/>
  <c r="S28" i="4" s="1"/>
  <c r="T76" i="4"/>
  <c r="T95" i="4"/>
  <c r="R57" i="4"/>
  <c r="P57" i="4"/>
  <c r="S57" i="4" s="1"/>
  <c r="T57" i="4" s="1"/>
  <c r="R52" i="4"/>
  <c r="P52" i="4"/>
  <c r="S52" i="4" s="1"/>
  <c r="Q97" i="4"/>
  <c r="T21" i="4"/>
  <c r="T30" i="4"/>
  <c r="T91" i="4"/>
  <c r="R54" i="4"/>
  <c r="R53" i="4" s="1"/>
  <c r="P54" i="4"/>
  <c r="S54" i="4" s="1"/>
  <c r="R37" i="4"/>
  <c r="Y37" i="4"/>
  <c r="P37" i="4"/>
  <c r="S37" i="4" s="1"/>
  <c r="T26" i="4"/>
  <c r="Q91" i="4"/>
  <c r="T23" i="4"/>
  <c r="Q95" i="4"/>
  <c r="R41" i="4" l="1"/>
  <c r="S41" i="4"/>
  <c r="Q42" i="4"/>
  <c r="T37" i="4"/>
  <c r="T41" i="4"/>
  <c r="T24" i="4"/>
  <c r="T22" i="4" s="1"/>
  <c r="Q25" i="4"/>
  <c r="T44" i="4"/>
  <c r="Q86" i="4"/>
  <c r="T68" i="4"/>
  <c r="R47" i="4"/>
  <c r="R45" i="4" s="1"/>
  <c r="Q64" i="4"/>
  <c r="Y31" i="4"/>
  <c r="T52" i="4"/>
  <c r="Q71" i="4"/>
  <c r="T64" i="4"/>
  <c r="S27" i="4"/>
  <c r="T28" i="4"/>
  <c r="T27" i="4" s="1"/>
  <c r="R33" i="4"/>
  <c r="P33" i="4"/>
  <c r="S33" i="4" s="1"/>
  <c r="Q58" i="4"/>
  <c r="Q28" i="4"/>
  <c r="T54" i="4"/>
  <c r="T53" i="4" s="1"/>
  <c r="S53" i="4"/>
  <c r="S47" i="4" s="1"/>
  <c r="S45" i="4" s="1"/>
  <c r="Q74" i="4"/>
  <c r="Q34" i="4"/>
  <c r="S34" i="4"/>
  <c r="T34" i="4" s="1"/>
  <c r="Q37" i="4"/>
  <c r="R35" i="4"/>
  <c r="P35" i="4"/>
  <c r="S35" i="4" s="1"/>
  <c r="Q52" i="4"/>
  <c r="T18" i="4"/>
  <c r="T17" i="4" s="1"/>
  <c r="S17" i="4"/>
  <c r="Q18" i="4"/>
  <c r="Q57" i="4"/>
  <c r="T46" i="4"/>
  <c r="Q46" i="4"/>
  <c r="Q54" i="4"/>
  <c r="Q44" i="4"/>
  <c r="R16" i="4"/>
  <c r="Q24" i="4"/>
  <c r="Q68" i="4"/>
  <c r="S22" i="4"/>
  <c r="T86" i="4"/>
  <c r="T89" i="4"/>
  <c r="T35" i="4" l="1"/>
  <c r="T16" i="4"/>
  <c r="Q33" i="4"/>
  <c r="T47" i="4"/>
  <c r="T45" i="4" s="1"/>
  <c r="S16" i="4"/>
  <c r="Q35" i="4"/>
  <c r="R32" i="4"/>
  <c r="R31" i="4" s="1"/>
  <c r="R15" i="4" s="1"/>
  <c r="S32" i="4"/>
  <c r="S31" i="4" s="1"/>
  <c r="T33" i="4"/>
  <c r="T32" i="4" l="1"/>
  <c r="T31" i="4" s="1"/>
  <c r="T15" i="4" s="1"/>
  <c r="U24" i="4" s="1"/>
  <c r="S15" i="4"/>
  <c r="U15" i="4" l="1"/>
  <c r="U56" i="4"/>
  <c r="U71" i="4"/>
  <c r="U93" i="4"/>
  <c r="U37" i="4"/>
  <c r="U53" i="4"/>
  <c r="U30" i="4"/>
  <c r="U68" i="4"/>
  <c r="U88" i="4"/>
  <c r="U43" i="4"/>
  <c r="U73" i="4"/>
  <c r="U46" i="4"/>
  <c r="U76" i="4"/>
  <c r="U60" i="4"/>
  <c r="U48" i="4"/>
  <c r="U59" i="4"/>
  <c r="U44" i="4"/>
  <c r="U52" i="4"/>
  <c r="U91" i="4"/>
  <c r="U83" i="4"/>
  <c r="U77" i="4"/>
  <c r="U57" i="4"/>
  <c r="U20" i="4"/>
  <c r="U65" i="4"/>
  <c r="U16" i="4"/>
  <c r="U82" i="4"/>
  <c r="U39" i="4"/>
  <c r="U85" i="4"/>
  <c r="K19" i="5"/>
  <c r="K20" i="5" s="1"/>
  <c r="U36" i="4"/>
  <c r="U25" i="4"/>
  <c r="U49" i="4"/>
  <c r="U22" i="4"/>
  <c r="U50" i="4"/>
  <c r="U41" i="4"/>
  <c r="U98" i="4"/>
  <c r="U31" i="4"/>
  <c r="U86" i="4"/>
  <c r="U27" i="4"/>
  <c r="U17" i="4"/>
  <c r="U32" i="4"/>
  <c r="U29" i="4"/>
  <c r="U62" i="4"/>
  <c r="U61" i="4"/>
  <c r="U70" i="4"/>
  <c r="U33" i="4"/>
  <c r="U84" i="4"/>
  <c r="U58" i="4"/>
  <c r="U38" i="4"/>
  <c r="U18" i="4"/>
  <c r="U95" i="4"/>
  <c r="U75" i="4"/>
  <c r="U99" i="4"/>
  <c r="U35" i="4"/>
  <c r="U54" i="4"/>
  <c r="U66" i="4"/>
  <c r="U87" i="4"/>
  <c r="U90" i="4"/>
  <c r="U79" i="4"/>
  <c r="U81" i="4"/>
  <c r="U96" i="4"/>
  <c r="U63" i="4"/>
  <c r="U21" i="4"/>
  <c r="U80" i="4"/>
  <c r="U64" i="4"/>
  <c r="U51" i="4"/>
  <c r="Q7" i="4"/>
  <c r="Q8" i="4" s="1"/>
  <c r="U19" i="4"/>
  <c r="U23" i="4"/>
  <c r="U26" i="4"/>
  <c r="U40" i="4"/>
  <c r="U74" i="4"/>
  <c r="U28" i="4"/>
  <c r="U69" i="4"/>
  <c r="U45" i="4"/>
  <c r="U94" i="4"/>
  <c r="U78" i="4"/>
  <c r="U55" i="4"/>
  <c r="U97" i="4"/>
  <c r="U67" i="4"/>
  <c r="U89" i="4"/>
  <c r="U34" i="4"/>
  <c r="U92" i="4"/>
  <c r="U47" i="4"/>
  <c r="E52" i="4"/>
  <c r="D52" i="4" s="1"/>
  <c r="U42" i="4"/>
  <c r="U72" i="4"/>
  <c r="X97" i="4" l="1"/>
  <c r="X36" i="4"/>
  <c r="Y5" i="4"/>
  <c r="K26" i="5" s="1"/>
  <c r="X38" i="4"/>
  <c r="K13" i="5"/>
  <c r="R4" i="4"/>
  <c r="Q9" i="4"/>
  <c r="X99" i="4" s="1"/>
  <c r="X37" i="4"/>
  <c r="X44" i="4"/>
  <c r="X98" i="4"/>
  <c r="Q10" i="4"/>
  <c r="K17" i="5" s="1"/>
  <c r="K14" i="5"/>
  <c r="K16" i="5" l="1"/>
  <c r="X31" i="4"/>
  <c r="X45" i="4"/>
  <c r="K30" i="5"/>
  <c r="K31" i="5" s="1"/>
  <c r="Y4" i="4" l="1"/>
  <c r="K25" i="5" s="1"/>
</calcChain>
</file>

<file path=xl/sharedStrings.xml><?xml version="1.0" encoding="utf-8"?>
<sst xmlns="http://schemas.openxmlformats.org/spreadsheetml/2006/main" count="370" uniqueCount="307">
  <si>
    <t>Revision Information</t>
  </si>
  <si>
    <t>Revision</t>
  </si>
  <si>
    <t>Date</t>
  </si>
  <si>
    <t>ECO</t>
  </si>
  <si>
    <t>Revised By</t>
  </si>
  <si>
    <t>Description</t>
  </si>
  <si>
    <t>Tim Scholz</t>
  </si>
  <si>
    <t>Addition of top level worksheet.</t>
  </si>
  <si>
    <t>Added Revision worksheet.  Modified for addition of Tadarin Battery packs.  Added additional functionality to the top level for error checking and additional calculations.</t>
  </si>
  <si>
    <t>Added new 1000 meter pump numbers</t>
  </si>
  <si>
    <t>Changed Li batteries from c-cell to DD-cells</t>
  </si>
  <si>
    <t>Changed Alkaline battery derating curve ot be less aggressive.  Added battery loss due to pump current.</t>
  </si>
  <si>
    <t>Added battery loss for Lithium cells.  Tadarin assumed to be equal.</t>
  </si>
  <si>
    <t>Changed Li batteries to CSC C-cells</t>
  </si>
  <si>
    <t>Changed Li batteries to include DD-cells</t>
  </si>
  <si>
    <t>C Jones</t>
  </si>
  <si>
    <t>BAM at 30 ma 40% duty for deep</t>
  </si>
  <si>
    <t>BAM at 30 ma 20% duty for deep</t>
  </si>
  <si>
    <t>H Fargher</t>
  </si>
  <si>
    <t>Added remaining days &amp; distance, as well as calculated data transmission</t>
  </si>
  <si>
    <t>Ensured use for both 200m and 1000m gliders with user-defined additional sensors.</t>
  </si>
  <si>
    <t>Accounted for acoustic-modem communicaton with data nodes.</t>
  </si>
  <si>
    <t>A</t>
  </si>
  <si>
    <t>ECO-428</t>
  </si>
  <si>
    <t>D Pingal</t>
  </si>
  <si>
    <t>Fixed current consumption numbers for attitude, altutide</t>
  </si>
  <si>
    <t>Fixed optode, spare sensors calculations</t>
  </si>
  <si>
    <t>B Draft</t>
  </si>
  <si>
    <t>Merged / corrected coastal vs Open Ocean energy capacity calculations</t>
  </si>
  <si>
    <t>B</t>
  </si>
  <si>
    <t xml:space="preserve">Fixed sensor calculations, buoyancy pump power </t>
  </si>
  <si>
    <t>C</t>
  </si>
  <si>
    <t>Incorporated OO test data, added Amp hr / day</t>
  </si>
  <si>
    <t>Slocum Glider Endurance Tool</t>
  </si>
  <si>
    <t>Mission Parameters</t>
  </si>
  <si>
    <t>Calculated Parameters</t>
  </si>
  <si>
    <t>Maximum Profile Depth (Meters):</t>
  </si>
  <si>
    <t>Trajectory Angle (Degrees):</t>
  </si>
  <si>
    <t>Minimum Profile Depth (Meters):</t>
  </si>
  <si>
    <t>Profile Duration (Minutes):</t>
  </si>
  <si>
    <t>Horizontal Velocity (Meters/Sec.):</t>
  </si>
  <si>
    <t>Profile Distance (Meters):</t>
  </si>
  <si>
    <t>Vertical Velocity (Meters/Sec.):</t>
  </si>
  <si>
    <t>Number of Profiles Between Surfacing:</t>
  </si>
  <si>
    <t>Profile Parameters:</t>
  </si>
  <si>
    <t>Time Between Surfacing (minutes):</t>
  </si>
  <si>
    <t xml:space="preserve">  T = Time, N = Profile Number, D = Distance:</t>
  </si>
  <si>
    <t>N</t>
  </si>
  <si>
    <t>Distance Between Surfacing (km):</t>
  </si>
  <si>
    <t>Surface Time (Minutes):</t>
  </si>
  <si>
    <t>Avg. Operating Temperature (C):</t>
  </si>
  <si>
    <t>Glider Configuration</t>
  </si>
  <si>
    <t>Pump Installed (200 or 1000 Meter):</t>
  </si>
  <si>
    <t>1 = enabled</t>
  </si>
  <si>
    <t>Pinger</t>
  </si>
  <si>
    <t>0 = disabled</t>
  </si>
  <si>
    <t>Altimeter</t>
  </si>
  <si>
    <t>Ah per day (Slocum &amp; Standard Sensors):</t>
  </si>
  <si>
    <t>Freewave</t>
  </si>
  <si>
    <t>Total Ah per day (Thruster and Extra Sensors)</t>
  </si>
  <si>
    <t>PTT</t>
  </si>
  <si>
    <t>Glider Type</t>
  </si>
  <si>
    <t>Coastal</t>
  </si>
  <si>
    <t>Calculated Data Transmission</t>
  </si>
  <si>
    <t>Battery Configuration</t>
  </si>
  <si>
    <t xml:space="preserve">Battery Chemistry:  </t>
  </si>
  <si>
    <t>Daily transmission (kbytes/day):</t>
  </si>
  <si>
    <t>A=Alkaline, Ld=Li DD:</t>
  </si>
  <si>
    <t>Ld</t>
  </si>
  <si>
    <t>Total transmission (kbytes):</t>
  </si>
  <si>
    <t>Battery type:</t>
  </si>
  <si>
    <t>R=Rechargeable, P= Primary</t>
  </si>
  <si>
    <t>Endurance</t>
  </si>
  <si>
    <t>Extended Energy Bay:</t>
  </si>
  <si>
    <t>1=available, 0=absent</t>
  </si>
  <si>
    <t>Total number of days</t>
  </si>
  <si>
    <t>Battery Usage</t>
  </si>
  <si>
    <t>Approximate Distance covered (km)</t>
  </si>
  <si>
    <t>Remaining energy (%):</t>
  </si>
  <si>
    <t>Standard Science Configuration</t>
  </si>
  <si>
    <t>CTD</t>
  </si>
  <si>
    <t>Motherboard</t>
  </si>
  <si>
    <t>0.N = fraction enabled</t>
  </si>
  <si>
    <t>Persistor</t>
  </si>
  <si>
    <t>Aanderaa Optode</t>
  </si>
  <si>
    <t>Explorer 600 kHz DVL</t>
  </si>
  <si>
    <t>FLBBCD-SLK</t>
  </si>
  <si>
    <t>Thruster Use (at 7W)</t>
  </si>
  <si>
    <t>Biospherical QSP-2150</t>
  </si>
  <si>
    <t>Usage (%):</t>
  </si>
  <si>
    <t>Extra Sensors</t>
  </si>
  <si>
    <t>UVP6</t>
  </si>
  <si>
    <t>EK80</t>
  </si>
  <si>
    <t>Hydrophone</t>
  </si>
  <si>
    <t>eDNA</t>
  </si>
  <si>
    <t>Electric Glider Power Summary</t>
  </si>
  <si>
    <t>Minimum Depth:</t>
  </si>
  <si>
    <t>Battery Derating Information</t>
  </si>
  <si>
    <t>Pump time</t>
  </si>
  <si>
    <t>Energy Configuration</t>
  </si>
  <si>
    <t>Calculated Parameters (Glider)</t>
  </si>
  <si>
    <t>Battery Type:</t>
  </si>
  <si>
    <t>200 m</t>
  </si>
  <si>
    <t>Origination Date:</t>
  </si>
  <si>
    <t>Main</t>
  </si>
  <si>
    <t>Number of Li Packs:</t>
  </si>
  <si>
    <t>Profile Depth (Meters):</t>
  </si>
  <si>
    <t>Temp</t>
  </si>
  <si>
    <t>derating factor</t>
  </si>
  <si>
    <t>Last Edited:</t>
  </si>
  <si>
    <t>by:</t>
  </si>
  <si>
    <t>dp</t>
  </si>
  <si>
    <t>Number of C-Cells:</t>
  </si>
  <si>
    <t>(C)</t>
  </si>
  <si>
    <t>alkaline</t>
  </si>
  <si>
    <t>lithium</t>
  </si>
  <si>
    <t>1000 m</t>
  </si>
  <si>
    <t>Stored Energy (Joules):</t>
  </si>
  <si>
    <t>Comment:</t>
  </si>
  <si>
    <t>is measured Data</t>
  </si>
  <si>
    <t>Emergency</t>
  </si>
  <si>
    <t>Number of D-Cells:</t>
  </si>
  <si>
    <t># of Profiles before surface:</t>
  </si>
  <si>
    <t>Derated Energy (Joules):</t>
  </si>
  <si>
    <t>is calculated data</t>
  </si>
  <si>
    <t>Calculated Duration (Days):</t>
  </si>
  <si>
    <t>Calculated distance (km):</t>
  </si>
  <si>
    <t>Temperature Derating (%):</t>
  </si>
  <si>
    <t>End of Life Voltage (VDC):</t>
  </si>
  <si>
    <t>Pump Installed (100, 200, or 1000 Meter):</t>
  </si>
  <si>
    <t xml:space="preserve">     Calculated Remaining Duration (Days):</t>
  </si>
  <si>
    <t>End Voltage Derating (%):</t>
  </si>
  <si>
    <t>Average battery voltage (VDC):</t>
  </si>
  <si>
    <t>Useage</t>
  </si>
  <si>
    <t>Remaining Energy (%):</t>
  </si>
  <si>
    <t xml:space="preserve">     Calculated Remaining Distance (km):</t>
  </si>
  <si>
    <t>Per Surface Period Data</t>
  </si>
  <si>
    <t>Profile Time</t>
  </si>
  <si>
    <t>Surface Time</t>
  </si>
  <si>
    <t>Total</t>
  </si>
  <si>
    <t>Rolled Up Data</t>
  </si>
  <si>
    <t>Sensor Data</t>
  </si>
  <si>
    <t>Glider Component</t>
  </si>
  <si>
    <t>On V avg.</t>
  </si>
  <si>
    <t>On I avg</t>
  </si>
  <si>
    <t>On P avg.</t>
  </si>
  <si>
    <t>Current at</t>
  </si>
  <si>
    <t>10 VDC P</t>
  </si>
  <si>
    <t>Off Current</t>
  </si>
  <si>
    <t>Off Power</t>
  </si>
  <si>
    <t>On Time</t>
  </si>
  <si>
    <t>Interval</t>
  </si>
  <si>
    <t>Off Time</t>
  </si>
  <si>
    <t>Duty Cycle</t>
  </si>
  <si>
    <t>On Energy</t>
  </si>
  <si>
    <t>Off Energy</t>
  </si>
  <si>
    <t>Energy/Sec.</t>
  </si>
  <si>
    <t>Percent</t>
  </si>
  <si>
    <t>Record</t>
  </si>
  <si>
    <t>Period</t>
  </si>
  <si>
    <t>Daily</t>
  </si>
  <si>
    <t>Level</t>
  </si>
  <si>
    <t>(VDC)</t>
  </si>
  <si>
    <t>(A)</t>
  </si>
  <si>
    <t>(W)</t>
  </si>
  <si>
    <t>10 VDC (A)</t>
  </si>
  <si>
    <t>13 VDC (A)</t>
  </si>
  <si>
    <t>13 VDC (W)</t>
  </si>
  <si>
    <t>(Sec)</t>
  </si>
  <si>
    <t>(%)</t>
  </si>
  <si>
    <t>(J)</t>
  </si>
  <si>
    <t>(J/s)</t>
  </si>
  <si>
    <t>of Total</t>
  </si>
  <si>
    <t>(Bytes)</t>
  </si>
  <si>
    <t>(KBytes)</t>
  </si>
  <si>
    <t>(Kbytes)</t>
  </si>
  <si>
    <t>Multiplier</t>
  </si>
  <si>
    <t>Comments</t>
  </si>
  <si>
    <t>Potential Improvements</t>
  </si>
  <si>
    <t>Glider Top Level</t>
  </si>
  <si>
    <t>FWD Chassis</t>
  </si>
  <si>
    <t>Buoyancy Pump</t>
  </si>
  <si>
    <t>Feedback Pot</t>
  </si>
  <si>
    <t>Pump</t>
  </si>
  <si>
    <t>Increase efficiency of motor and transmission</t>
  </si>
  <si>
    <t>Pump Retraction</t>
  </si>
  <si>
    <t>Self returning piston?</t>
  </si>
  <si>
    <t>Brake</t>
  </si>
  <si>
    <t>Pitch Motor</t>
  </si>
  <si>
    <t>Motor</t>
  </si>
  <si>
    <t>Pinger Module</t>
  </si>
  <si>
    <t>Battery Losses</t>
  </si>
  <si>
    <t xml:space="preserve">    Battery Leakage</t>
  </si>
  <si>
    <t xml:space="preserve">    Battery Loss</t>
  </si>
  <si>
    <t>Leak Detector</t>
  </si>
  <si>
    <t>Science Bay</t>
  </si>
  <si>
    <t>Quad UART</t>
  </si>
  <si>
    <t>UART</t>
  </si>
  <si>
    <t>U4S</t>
  </si>
  <si>
    <t>Note:  Current measured using CONSCI subroutine</t>
  </si>
  <si>
    <t>Optode</t>
  </si>
  <si>
    <t>TRDI Explorer DVL</t>
  </si>
  <si>
    <t>Bioshperical QSP-2150</t>
  </si>
  <si>
    <t>Spare Sensor</t>
  </si>
  <si>
    <t>3.3 VDC regulator</t>
  </si>
  <si>
    <t>Note:  65% efficiency.  Power is Vin*Iin*0.65</t>
  </si>
  <si>
    <t>Replace with switching supply</t>
  </si>
  <si>
    <t xml:space="preserve">   Persistor Power</t>
  </si>
  <si>
    <t xml:space="preserve">   Regulator power</t>
  </si>
  <si>
    <t>Seabird CTD</t>
  </si>
  <si>
    <t>AFT Chassis</t>
  </si>
  <si>
    <t>Emergency Battery</t>
  </si>
  <si>
    <t>Control Board</t>
  </si>
  <si>
    <t>Air Solinoid Driver</t>
  </si>
  <si>
    <t>Air Pump Driver</t>
  </si>
  <si>
    <t>Burn Wire Driver</t>
  </si>
  <si>
    <t>Opto Power Driver</t>
  </si>
  <si>
    <t>Battery Select Switch</t>
  </si>
  <si>
    <t>5 VDC regulator</t>
  </si>
  <si>
    <t xml:space="preserve">   GPS power</t>
  </si>
  <si>
    <t xml:space="preserve">   TCM3,optode power</t>
  </si>
  <si>
    <t>5 VDC backup regulator</t>
  </si>
  <si>
    <t>Buoyancy Pump Drive</t>
  </si>
  <si>
    <t>Note:  Most of this loss is in the wires, connectors, and batteries</t>
  </si>
  <si>
    <t>Improved Overcurrent protection</t>
  </si>
  <si>
    <t>Pump Brake Drive</t>
  </si>
  <si>
    <t>Fin Motor Drive</t>
  </si>
  <si>
    <t>Pitch Motor Drive</t>
  </si>
  <si>
    <t>Altimeter Drive</t>
  </si>
  <si>
    <t>Leak Detector Drive</t>
  </si>
  <si>
    <t>Pinger Driver</t>
  </si>
  <si>
    <t>P and Vac. Power</t>
  </si>
  <si>
    <t>Pressure and Vac Sense</t>
  </si>
  <si>
    <t>Battery Sense</t>
  </si>
  <si>
    <t>A/D Conversion</t>
  </si>
  <si>
    <t>Feedback Pot Driver</t>
  </si>
  <si>
    <t>DIO</t>
  </si>
  <si>
    <t>Persistor Interface</t>
  </si>
  <si>
    <t>Argos Interface</t>
  </si>
  <si>
    <t>Attitude Interface</t>
  </si>
  <si>
    <t>CTD/Iridium Interface</t>
  </si>
  <si>
    <t>Science/Iridium Interface</t>
  </si>
  <si>
    <t>GPS Interface</t>
  </si>
  <si>
    <t>FreeWave Interface</t>
  </si>
  <si>
    <t>Iridium Power Supply</t>
  </si>
  <si>
    <t>Note:  80% efficiency.  Power is Vin*Iin*0.20</t>
  </si>
  <si>
    <t>Persistor Power</t>
  </si>
  <si>
    <t>Go to low power mode during upcast</t>
  </si>
  <si>
    <t>Ocean Pressure Sensor</t>
  </si>
  <si>
    <t>GPS</t>
  </si>
  <si>
    <t>Steering Fin</t>
  </si>
  <si>
    <t>Fin Motor</t>
  </si>
  <si>
    <t>PTT-Argos</t>
  </si>
  <si>
    <t>External Power</t>
  </si>
  <si>
    <t>Burn Wire</t>
  </si>
  <si>
    <t>TNT Attitude Sensor</t>
  </si>
  <si>
    <t>Air Pump</t>
  </si>
  <si>
    <t>Air Solinoid</t>
  </si>
  <si>
    <t>Air Pressure Sensor</t>
  </si>
  <si>
    <t>Iridium Phone/Modem</t>
  </si>
  <si>
    <t>Measured on older version of phone.</t>
  </si>
  <si>
    <t>LNA/Switch Board</t>
  </si>
  <si>
    <t>FreeWave Modem</t>
  </si>
  <si>
    <t>Note:  Current is with no carrier.  Current is 0.07 when carrier is present.</t>
  </si>
  <si>
    <t>Turn off if Iridium connection is present.</t>
  </si>
  <si>
    <t>FreeWave Switch Board</t>
  </si>
  <si>
    <t>Calculated Parameters (Data Node)</t>
  </si>
  <si>
    <t>Data Node Component</t>
  </si>
  <si>
    <t>Receive</t>
  </si>
  <si>
    <t>Transmit</t>
  </si>
  <si>
    <t>Standby</t>
  </si>
  <si>
    <t>Average</t>
  </si>
  <si>
    <t>Re-transmit</t>
  </si>
  <si>
    <t>Average data</t>
  </si>
  <si>
    <t>Time between</t>
  </si>
  <si>
    <t>Re-transmit received (Bytes):</t>
  </si>
  <si>
    <t>power</t>
  </si>
  <si>
    <t>baud rate</t>
  </si>
  <si>
    <t>overhead</t>
  </si>
  <si>
    <t>received</t>
  </si>
  <si>
    <t>transmitted</t>
  </si>
  <si>
    <t>data nodes</t>
  </si>
  <si>
    <t>Re-transmit transmitted (Bytes):</t>
  </si>
  <si>
    <t>(Bits/sec)</t>
  </si>
  <si>
    <t>(hours)</t>
  </si>
  <si>
    <t>Modem overhead receive (Bytes):</t>
  </si>
  <si>
    <t>Modem ovehead transmit (Bytes):</t>
  </si>
  <si>
    <t>Acoustic modem</t>
  </si>
  <si>
    <t>Total data received (Bytes):</t>
  </si>
  <si>
    <t>Total data transmitted (Bytes):</t>
  </si>
  <si>
    <t>Receive time (secs):</t>
  </si>
  <si>
    <t>Transmit time (secs):</t>
  </si>
  <si>
    <t>Calculated Daily Data for transmission (kbytes/day):</t>
  </si>
  <si>
    <t xml:space="preserve">Buoyancy pump </t>
  </si>
  <si>
    <t>Calculated Daily Energy for modem (J):</t>
  </si>
  <si>
    <t>Full Speed</t>
  </si>
  <si>
    <t>Calculated power for modem (J/s):</t>
  </si>
  <si>
    <t>Speed</t>
  </si>
  <si>
    <t>Ratio</t>
  </si>
  <si>
    <t>Ballast</t>
  </si>
  <si>
    <t>Fraction</t>
  </si>
  <si>
    <t>Full Drive</t>
  </si>
  <si>
    <t>Duty Cycle:</t>
  </si>
  <si>
    <t>Glider CPU</t>
  </si>
  <si>
    <t>Attitude</t>
  </si>
  <si>
    <t>Open Ocean</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</si>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</sst>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0"/>
      <name val="Arial"/>
    </font>
    <font>
      <sz val="10"/>
      <name val="Arial"/>
    </font>
    <font>
      <sz val="8"/>
      <name val="Arial"/>
      <family val="2"/>
    </font>
    <font>
      <b/>
      <sz val="12"/>
      <name val="Arial"/>
      <family val="2"/>
    </font>
    <font>
      <b/>
      <sz val="10"/>
      <name val="Arial"/>
      <family val="2"/>
    </font>
    <font>
      <i/>
      <sz val="10"/>
      <color indexed="8"/>
      <name val="Arial"/>
      <family val="2"/>
    </font>
    <font>
      <sz val="10"/>
      <name val="Arial"/>
      <family val="2"/>
    </font>
    <font>
      <b/>
      <sz val="10"/>
      <color indexed="10"/>
      <name val="Arial"/>
      <family val="2"/>
    </font>
    <font>
      <sz val="14"/>
      <name val="Arial"/>
      <family val="2"/>
    </font>
    <font>
      <sz val="10"/>
      <color indexed="12"/>
      <name val="Arial"/>
      <family val="2"/>
    </font>
    <font>
      <sz val="10"/>
      <color indexed="10"/>
      <name val="Arial"/>
      <family val="2"/>
    </font>
    <font>
      <sz val="10"/>
      <color rgb="FF020BBE"/>
      <name val="Arial"/>
      <family val="2"/>
    </font>
    <font>
      <sz val="10"/>
      <color theme="1"/>
      <name val="Arial"/>
      <family val="2"/>
    </font>
    <font>
      <sz val="10"/>
      <color rgb="FF1306BA"/>
      <name val="Arial"/>
      <family val="2"/>
    </font>
    <font>
      <sz val="36"/>
      <color rgb="FFFF0000"/>
      <name val="Arial"/>
      <family val="2"/>
    </font>
    <font>
      <b/>
      <sz val="10"/>
      <color theme="1"/>
      <name val="Arial"/>
      <family val="2"/>
    </font>
    <font>
      <sz val="10"/>
      <color rgb="FF0070C0"/>
      <name val="Arial"/>
      <family val="2"/>
    </font>
    <font>
      <sz val="10"/>
      <color rgb="FFFF0000"/>
      <name val="Arial"/>
      <family val="2"/>
    </font>
  </fonts>
  <fills count="16">
    <fill>
      <patternFill patternType="none"/>
    </fill>
    <fill>
      <patternFill patternType="gray125"/>
    </fill>
    <fill>
      <patternFill patternType="mediumGray">
        <fgColor indexed="43"/>
      </patternFill>
    </fill>
    <fill>
      <patternFill patternType="solid">
        <fgColor indexed="47"/>
        <bgColor indexed="64"/>
      </patternFill>
    </fill>
    <fill>
      <patternFill patternType="solid">
        <fgColor indexed="22"/>
        <bgColor indexed="64"/>
      </patternFill>
    </fill>
    <fill>
      <patternFill patternType="solid">
        <fgColor indexed="13"/>
        <bgColor indexed="64"/>
      </patternFill>
    </fill>
    <fill>
      <patternFill patternType="solid">
        <fgColor indexed="44"/>
        <bgColor indexed="64"/>
      </patternFill>
    </fill>
    <fill>
      <patternFill patternType="solid">
        <fgColor indexed="42"/>
        <bgColor indexed="64"/>
      </patternFill>
    </fill>
    <fill>
      <patternFill patternType="mediumGray">
        <fgColor indexed="43"/>
        <bgColor indexed="43"/>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00"/>
        <bgColor indexed="64"/>
      </patternFill>
    </fill>
    <fill>
      <patternFill patternType="mediumGray">
        <fgColor indexed="43"/>
        <bgColor rgb="FFFFFF00"/>
      </patternFill>
    </fill>
    <fill>
      <patternFill patternType="solid">
        <fgColor rgb="FFFFFF99"/>
        <bgColor indexed="64"/>
      </patternFill>
    </fill>
    <fill>
      <patternFill patternType="solid">
        <fgColor theme="9" tint="0.39994506668294322"/>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27">
    <xf numFmtId="0" fontId="0" fillId="0" borderId="0" xfId="0"/>
    <xf numFmtId="0" fontId="3" fillId="0" borderId="0" xfId="0" applyFont="1"/>
    <xf numFmtId="0" fontId="0" fillId="0" borderId="0" xfId="0" applyAlignment="1">
      <alignment horizontal="center"/>
    </xf>
    <xf numFmtId="0" fontId="4" fillId="0" borderId="1"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2" xfId="0" applyBorder="1"/>
    <xf numFmtId="0" fontId="0" fillId="0" borderId="3" xfId="0" applyBorder="1"/>
    <xf numFmtId="0" fontId="4" fillId="2" borderId="1" xfId="0" applyFont="1" applyFill="1" applyBorder="1"/>
    <xf numFmtId="0" fontId="0" fillId="2" borderId="2" xfId="0" applyFill="1" applyBorder="1"/>
    <xf numFmtId="0" fontId="0" fillId="2" borderId="3" xfId="0" applyFill="1" applyBorder="1"/>
    <xf numFmtId="0" fontId="0" fillId="0" borderId="0" xfId="0" applyAlignment="1">
      <alignment horizontal="right"/>
    </xf>
    <xf numFmtId="14" fontId="0" fillId="0" borderId="0" xfId="0" applyNumberFormat="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5" xfId="0" applyBorder="1"/>
    <xf numFmtId="0" fontId="0" fillId="2" borderId="4" xfId="0" applyFill="1" applyBorder="1"/>
    <xf numFmtId="0" fontId="0" fillId="2" borderId="0" xfId="0" applyFill="1" applyAlignment="1">
      <alignment horizontal="center"/>
    </xf>
    <xf numFmtId="0" fontId="0" fillId="2" borderId="0" xfId="0" applyFill="1" applyAlignment="1">
      <alignment horizontal="right"/>
    </xf>
    <xf numFmtId="164" fontId="0" fillId="2" borderId="5" xfId="0" applyNumberFormat="1" applyFill="1" applyBorder="1"/>
    <xf numFmtId="0" fontId="5" fillId="0" borderId="0" xfId="0" applyFont="1" applyAlignment="1">
      <alignment horizontal="center"/>
    </xf>
    <xf numFmtId="0" fontId="0" fillId="0" borderId="4" xfId="0" applyBorder="1" applyAlignment="1">
      <alignment horizontal="left"/>
    </xf>
    <xf numFmtId="0" fontId="5" fillId="0" borderId="0" xfId="0" applyFont="1"/>
    <xf numFmtId="0" fontId="0" fillId="0" borderId="0" xfId="0" applyAlignment="1">
      <alignment horizontal="left"/>
    </xf>
    <xf numFmtId="11" fontId="0" fillId="0" borderId="5" xfId="0" applyNumberFormat="1" applyBorder="1"/>
    <xf numFmtId="0" fontId="0" fillId="2" borderId="0" xfId="0" applyFill="1"/>
    <xf numFmtId="0" fontId="6" fillId="0" borderId="0" xfId="0" applyFont="1"/>
    <xf numFmtId="0" fontId="0" fillId="3" borderId="0" xfId="0" applyFill="1"/>
    <xf numFmtId="11" fontId="0" fillId="2" borderId="5" xfId="0" applyNumberFormat="1" applyFill="1" applyBorder="1"/>
    <xf numFmtId="0" fontId="0" fillId="4" borderId="0" xfId="0" applyFill="1"/>
    <xf numFmtId="0" fontId="0" fillId="5" borderId="4" xfId="0" applyFill="1" applyBorder="1"/>
    <xf numFmtId="0" fontId="0" fillId="5" borderId="0" xfId="0" applyFill="1" applyAlignment="1">
      <alignment horizontal="center"/>
    </xf>
    <xf numFmtId="0" fontId="0" fillId="5" borderId="0" xfId="0" applyFill="1" applyAlignment="1">
      <alignment horizontal="right"/>
    </xf>
    <xf numFmtId="11" fontId="0" fillId="5" borderId="5" xfId="0" applyNumberFormat="1" applyFill="1" applyBorder="1"/>
    <xf numFmtId="0" fontId="0" fillId="0" borderId="6" xfId="0" applyBorder="1" applyAlignment="1">
      <alignment horizontal="center"/>
    </xf>
    <xf numFmtId="0" fontId="0" fillId="0" borderId="7" xfId="0" applyBorder="1" applyAlignment="1">
      <alignment horizontal="center"/>
    </xf>
    <xf numFmtId="0" fontId="0" fillId="0" borderId="7" xfId="0" applyBorder="1" applyAlignment="1">
      <alignment horizontal="right"/>
    </xf>
    <xf numFmtId="11" fontId="0" fillId="0" borderId="8" xfId="0" applyNumberFormat="1" applyBorder="1" applyAlignment="1">
      <alignment horizontal="center"/>
    </xf>
    <xf numFmtId="0" fontId="1" fillId="0" borderId="8" xfId="1" applyNumberFormat="1" applyBorder="1"/>
    <xf numFmtId="0" fontId="0" fillId="5" borderId="6" xfId="0" applyFill="1" applyBorder="1"/>
    <xf numFmtId="0" fontId="0" fillId="5" borderId="7" xfId="0" applyFill="1" applyBorder="1" applyAlignment="1">
      <alignment horizontal="center"/>
    </xf>
    <xf numFmtId="0" fontId="0" fillId="5" borderId="7" xfId="0" applyFill="1" applyBorder="1" applyAlignment="1">
      <alignment horizontal="right"/>
    </xf>
    <xf numFmtId="11" fontId="0" fillId="5" borderId="8" xfId="0" applyNumberFormat="1" applyFill="1" applyBorder="1"/>
    <xf numFmtId="9" fontId="1" fillId="2" borderId="5" xfId="1" applyFill="1" applyBorder="1"/>
    <xf numFmtId="0" fontId="0" fillId="0" borderId="1" xfId="0" applyBorder="1"/>
    <xf numFmtId="0" fontId="0" fillId="0" borderId="1" xfId="0" applyBorder="1" applyAlignment="1">
      <alignment horizontal="center"/>
    </xf>
    <xf numFmtId="0" fontId="0" fillId="0" borderId="9" xfId="0" applyBorder="1"/>
    <xf numFmtId="0" fontId="0" fillId="0" borderId="4" xfId="0" applyBorder="1"/>
    <xf numFmtId="0" fontId="0" fillId="0" borderId="10" xfId="0" applyBorder="1" applyAlignment="1">
      <alignment horizontal="center"/>
    </xf>
    <xf numFmtId="0" fontId="0" fillId="0" borderId="6" xfId="0" applyBorder="1"/>
    <xf numFmtId="0" fontId="0" fillId="0" borderId="8" xfId="0" applyBorder="1"/>
    <xf numFmtId="0" fontId="0" fillId="0" borderId="8" xfId="0" applyBorder="1" applyAlignment="1">
      <alignment horizontal="center"/>
    </xf>
    <xf numFmtId="0" fontId="0" fillId="0" borderId="11" xfId="0" applyBorder="1" applyAlignment="1">
      <alignment horizontal="center"/>
    </xf>
    <xf numFmtId="11" fontId="0" fillId="0" borderId="0" xfId="0" applyNumberFormat="1" applyAlignment="1">
      <alignment horizontal="center"/>
    </xf>
    <xf numFmtId="11" fontId="0" fillId="0" borderId="5" xfId="0" applyNumberFormat="1" applyBorder="1" applyAlignment="1">
      <alignment horizontal="center"/>
    </xf>
    <xf numFmtId="11" fontId="0" fillId="0" borderId="4" xfId="0" applyNumberFormat="1" applyBorder="1" applyAlignment="1">
      <alignment horizontal="center"/>
    </xf>
    <xf numFmtId="165" fontId="1" fillId="0" borderId="5" xfId="1" applyNumberFormat="1" applyBorder="1" applyAlignment="1">
      <alignment horizontal="center"/>
    </xf>
    <xf numFmtId="0" fontId="0" fillId="5" borderId="4" xfId="0" applyFill="1" applyBorder="1" applyAlignment="1">
      <alignment horizontal="center"/>
    </xf>
    <xf numFmtId="11" fontId="0" fillId="5" borderId="0" xfId="0" applyNumberFormat="1" applyFill="1" applyAlignment="1">
      <alignment horizontal="center"/>
    </xf>
    <xf numFmtId="11" fontId="0" fillId="5" borderId="5" xfId="0" applyNumberFormat="1" applyFill="1" applyBorder="1" applyAlignment="1">
      <alignment horizontal="center"/>
    </xf>
    <xf numFmtId="11" fontId="0" fillId="5" borderId="4" xfId="0" applyNumberFormat="1" applyFill="1" applyBorder="1" applyAlignment="1">
      <alignment horizontal="center"/>
    </xf>
    <xf numFmtId="10" fontId="1" fillId="5" borderId="5" xfId="1" applyNumberFormat="1" applyFill="1" applyBorder="1" applyAlignment="1">
      <alignment horizontal="center"/>
    </xf>
    <xf numFmtId="0" fontId="0" fillId="4" borderId="4" xfId="0" applyFill="1" applyBorder="1" applyAlignment="1">
      <alignment horizontal="center"/>
    </xf>
    <xf numFmtId="11" fontId="0" fillId="4" borderId="0" xfId="0" applyNumberFormat="1" applyFill="1" applyAlignment="1">
      <alignment horizontal="center"/>
    </xf>
    <xf numFmtId="11" fontId="0" fillId="4" borderId="5" xfId="0" applyNumberFormat="1" applyFill="1" applyBorder="1" applyAlignment="1">
      <alignment horizontal="center"/>
    </xf>
    <xf numFmtId="11" fontId="0" fillId="4" borderId="4" xfId="0" applyNumberFormat="1" applyFill="1" applyBorder="1" applyAlignment="1">
      <alignment horizontal="center"/>
    </xf>
    <xf numFmtId="10" fontId="1" fillId="4" borderId="5" xfId="1" applyNumberFormat="1" applyFill="1" applyBorder="1" applyAlignment="1">
      <alignment horizontal="center"/>
    </xf>
    <xf numFmtId="0" fontId="0" fillId="3" borderId="4" xfId="0" applyFill="1" applyBorder="1" applyAlignment="1">
      <alignment horizontal="center"/>
    </xf>
    <xf numFmtId="11" fontId="0" fillId="3" borderId="0" xfId="0" applyNumberFormat="1" applyFill="1" applyAlignment="1">
      <alignment horizontal="center"/>
    </xf>
    <xf numFmtId="11" fontId="0" fillId="3" borderId="5" xfId="0" applyNumberFormat="1" applyFill="1" applyBorder="1" applyAlignment="1">
      <alignment horizontal="center"/>
    </xf>
    <xf numFmtId="11" fontId="0" fillId="3" borderId="4" xfId="0" applyNumberFormat="1" applyFill="1" applyBorder="1" applyAlignment="1">
      <alignment horizontal="center"/>
    </xf>
    <xf numFmtId="10" fontId="1" fillId="3" borderId="10" xfId="1" applyNumberFormat="1" applyFill="1" applyBorder="1" applyAlignment="1">
      <alignment horizontal="center"/>
    </xf>
    <xf numFmtId="2" fontId="0" fillId="3" borderId="4" xfId="0" applyNumberFormat="1" applyFill="1" applyBorder="1" applyAlignment="1">
      <alignment horizontal="center"/>
    </xf>
    <xf numFmtId="10" fontId="1" fillId="3" borderId="5" xfId="1" applyNumberFormat="1" applyFill="1" applyBorder="1" applyAlignment="1">
      <alignment horizontal="center"/>
    </xf>
    <xf numFmtId="10" fontId="1" fillId="4" borderId="10" xfId="1" applyNumberFormat="1" applyFill="1" applyBorder="1" applyAlignment="1">
      <alignment horizontal="center"/>
    </xf>
    <xf numFmtId="10" fontId="1" fillId="5" borderId="10" xfId="1" applyNumberFormat="1" applyFill="1" applyBorder="1" applyAlignment="1">
      <alignment horizontal="center"/>
    </xf>
    <xf numFmtId="10" fontId="1" fillId="0" borderId="5" xfId="1" applyNumberFormat="1" applyBorder="1" applyAlignment="1">
      <alignment horizontal="center"/>
    </xf>
    <xf numFmtId="11" fontId="0" fillId="0" borderId="7" xfId="0" applyNumberFormat="1" applyBorder="1" applyAlignment="1">
      <alignment horizontal="center"/>
    </xf>
    <xf numFmtId="11" fontId="0" fillId="0" borderId="6" xfId="0" applyNumberFormat="1" applyBorder="1" applyAlignment="1">
      <alignment horizontal="center"/>
    </xf>
    <xf numFmtId="10" fontId="1" fillId="0" borderId="8" xfId="1" applyNumberFormat="1" applyFill="1" applyBorder="1" applyAlignment="1">
      <alignment horizontal="center"/>
    </xf>
    <xf numFmtId="11" fontId="0" fillId="0" borderId="0" xfId="0" applyNumberFormat="1"/>
    <xf numFmtId="0" fontId="1" fillId="3" borderId="4" xfId="0" applyFont="1" applyFill="1" applyBorder="1" applyAlignment="1">
      <alignment horizontal="center"/>
    </xf>
    <xf numFmtId="11" fontId="1" fillId="3" borderId="0" xfId="0" applyNumberFormat="1" applyFont="1" applyFill="1" applyAlignment="1">
      <alignment horizontal="center"/>
    </xf>
    <xf numFmtId="11" fontId="1" fillId="3" borderId="5" xfId="0" applyNumberFormat="1" applyFont="1" applyFill="1" applyBorder="1" applyAlignment="1">
      <alignment horizontal="center"/>
    </xf>
    <xf numFmtId="10" fontId="0" fillId="3" borderId="10" xfId="1" applyNumberFormat="1" applyFont="1" applyFill="1" applyBorder="1" applyAlignment="1">
      <alignment horizontal="center"/>
    </xf>
    <xf numFmtId="10" fontId="0" fillId="4" borderId="10" xfId="1" applyNumberFormat="1" applyFont="1" applyFill="1" applyBorder="1" applyAlignment="1">
      <alignment horizontal="center"/>
    </xf>
    <xf numFmtId="10" fontId="0" fillId="4" borderId="5" xfId="1" applyNumberFormat="1" applyFont="1" applyFill="1" applyBorder="1" applyAlignment="1">
      <alignment horizontal="center"/>
    </xf>
    <xf numFmtId="0" fontId="0" fillId="6" borderId="4" xfId="0" applyFill="1" applyBorder="1" applyAlignment="1">
      <alignment horizontal="center"/>
    </xf>
    <xf numFmtId="11" fontId="0" fillId="6" borderId="0" xfId="0" applyNumberFormat="1" applyFill="1" applyAlignment="1">
      <alignment horizontal="center"/>
    </xf>
    <xf numFmtId="11" fontId="0" fillId="6" borderId="5" xfId="0" applyNumberFormat="1" applyFill="1" applyBorder="1" applyAlignment="1">
      <alignment horizontal="center"/>
    </xf>
    <xf numFmtId="11" fontId="0" fillId="6" borderId="4" xfId="0" applyNumberFormat="1" applyFill="1" applyBorder="1" applyAlignment="1">
      <alignment horizontal="center"/>
    </xf>
    <xf numFmtId="10" fontId="0" fillId="6" borderId="10" xfId="1" applyNumberFormat="1" applyFont="1" applyFill="1" applyBorder="1" applyAlignment="1">
      <alignment horizontal="center"/>
    </xf>
    <xf numFmtId="0" fontId="0" fillId="7" borderId="12" xfId="0" applyFill="1" applyBorder="1" applyAlignment="1">
      <alignment horizontal="center"/>
    </xf>
    <xf numFmtId="0" fontId="0" fillId="7" borderId="13" xfId="0" applyFill="1" applyBorder="1" applyAlignment="1">
      <alignment horizontal="center"/>
    </xf>
    <xf numFmtId="0" fontId="0" fillId="7" borderId="13" xfId="0" applyFill="1" applyBorder="1" applyAlignment="1">
      <alignment horizontal="right"/>
    </xf>
    <xf numFmtId="0" fontId="0" fillId="7" borderId="14" xfId="0" applyFill="1" applyBorder="1"/>
    <xf numFmtId="0" fontId="7" fillId="0" borderId="3" xfId="0" applyFont="1" applyBorder="1" applyAlignment="1">
      <alignment horizontal="right"/>
    </xf>
    <xf numFmtId="0" fontId="0" fillId="6" borderId="5" xfId="0" applyFill="1" applyBorder="1" applyAlignment="1">
      <alignment horizontal="center"/>
    </xf>
    <xf numFmtId="10" fontId="1" fillId="6" borderId="5" xfId="1" applyNumberFormat="1" applyFill="1" applyBorder="1" applyAlignment="1">
      <alignment horizontal="center"/>
    </xf>
    <xf numFmtId="165" fontId="0" fillId="0" borderId="10" xfId="0" applyNumberFormat="1" applyBorder="1" applyAlignment="1">
      <alignment horizontal="center"/>
    </xf>
    <xf numFmtId="165" fontId="0" fillId="5" borderId="10" xfId="0" applyNumberFormat="1" applyFill="1" applyBorder="1" applyAlignment="1">
      <alignment horizontal="center"/>
    </xf>
    <xf numFmtId="165" fontId="0" fillId="6" borderId="10" xfId="0" applyNumberFormat="1" applyFill="1" applyBorder="1" applyAlignment="1">
      <alignment horizontal="center"/>
    </xf>
    <xf numFmtId="165" fontId="1" fillId="4" borderId="10" xfId="1" applyNumberFormat="1" applyFill="1" applyBorder="1" applyAlignment="1">
      <alignment horizontal="center"/>
    </xf>
    <xf numFmtId="165" fontId="1" fillId="3" borderId="10" xfId="1" applyNumberFormat="1" applyFill="1" applyBorder="1" applyAlignment="1">
      <alignment horizontal="center"/>
    </xf>
    <xf numFmtId="165" fontId="0" fillId="4" borderId="10" xfId="1" applyNumberFormat="1" applyFont="1" applyFill="1" applyBorder="1" applyAlignment="1">
      <alignment horizontal="center"/>
    </xf>
    <xf numFmtId="165" fontId="0" fillId="3" borderId="10" xfId="1" applyNumberFormat="1" applyFont="1" applyFill="1" applyBorder="1" applyAlignment="1">
      <alignment horizontal="center"/>
    </xf>
    <xf numFmtId="165" fontId="1" fillId="0" borderId="11" xfId="1" applyNumberFormat="1" applyFill="1" applyBorder="1" applyAlignment="1">
      <alignment horizontal="center"/>
    </xf>
    <xf numFmtId="9" fontId="0" fillId="4" borderId="10" xfId="1" applyFont="1" applyFill="1" applyBorder="1" applyAlignment="1">
      <alignment horizontal="center"/>
    </xf>
    <xf numFmtId="0" fontId="0" fillId="0" borderId="6" xfId="0" applyBorder="1" applyAlignment="1">
      <alignment horizontal="left"/>
    </xf>
    <xf numFmtId="0" fontId="4" fillId="0" borderId="1" xfId="0" applyFont="1" applyBorder="1" applyAlignment="1">
      <alignment horizontal="left" vertical="center"/>
    </xf>
    <xf numFmtId="0" fontId="0" fillId="0" borderId="2" xfId="0" applyBorder="1" applyAlignment="1">
      <alignment horizontal="center" vertical="center"/>
    </xf>
    <xf numFmtId="0" fontId="0" fillId="0" borderId="2" xfId="0" applyBorder="1" applyAlignment="1">
      <alignment vertical="center"/>
    </xf>
    <xf numFmtId="0" fontId="7" fillId="0" borderId="3" xfId="0" applyFont="1" applyBorder="1" applyAlignment="1">
      <alignment horizontal="right" vertical="center"/>
    </xf>
    <xf numFmtId="0" fontId="0" fillId="0" borderId="0" xfId="0" applyAlignment="1">
      <alignment vertical="center"/>
    </xf>
    <xf numFmtId="0" fontId="0" fillId="0" borderId="3" xfId="0" applyBorder="1" applyAlignment="1">
      <alignment horizontal="center" vertical="center"/>
    </xf>
    <xf numFmtId="0" fontId="4" fillId="0" borderId="1" xfId="0" applyFont="1" applyBorder="1"/>
    <xf numFmtId="0" fontId="0" fillId="0" borderId="7" xfId="0" applyBorder="1"/>
    <xf numFmtId="0" fontId="0" fillId="8" borderId="4" xfId="0" applyFill="1" applyBorder="1"/>
    <xf numFmtId="0" fontId="0" fillId="8" borderId="0" xfId="0" applyFill="1" applyAlignment="1">
      <alignment horizontal="center"/>
    </xf>
    <xf numFmtId="0" fontId="0" fillId="8" borderId="0" xfId="0" applyFill="1" applyAlignment="1">
      <alignment horizontal="right"/>
    </xf>
    <xf numFmtId="0" fontId="0" fillId="8" borderId="0" xfId="0" applyFill="1"/>
    <xf numFmtId="0" fontId="0" fillId="9" borderId="4" xfId="0" applyFill="1" applyBorder="1"/>
    <xf numFmtId="0" fontId="0" fillId="9" borderId="0" xfId="0" applyFill="1"/>
    <xf numFmtId="0" fontId="0" fillId="9" borderId="0" xfId="0" applyFill="1" applyAlignment="1">
      <alignment horizontal="right"/>
    </xf>
    <xf numFmtId="164" fontId="0" fillId="8" borderId="5" xfId="0" applyNumberFormat="1" applyFill="1" applyBorder="1" applyAlignment="1">
      <alignment horizontal="left"/>
    </xf>
    <xf numFmtId="1" fontId="0" fillId="8" borderId="5" xfId="0" applyNumberFormat="1" applyFill="1" applyBorder="1" applyAlignment="1">
      <alignment horizontal="left"/>
    </xf>
    <xf numFmtId="164" fontId="0" fillId="9" borderId="5" xfId="0" applyNumberFormat="1" applyFill="1" applyBorder="1" applyAlignment="1">
      <alignment horizontal="left"/>
    </xf>
    <xf numFmtId="2" fontId="0" fillId="9" borderId="5" xfId="0" applyNumberFormat="1" applyFill="1" applyBorder="1" applyAlignment="1">
      <alignment horizontal="left"/>
    </xf>
    <xf numFmtId="11" fontId="0" fillId="8" borderId="5" xfId="0" applyNumberFormat="1" applyFill="1" applyBorder="1" applyAlignment="1">
      <alignment horizontal="left"/>
    </xf>
    <xf numFmtId="0" fontId="0" fillId="10" borderId="4" xfId="0" applyFill="1" applyBorder="1"/>
    <xf numFmtId="0" fontId="0" fillId="0" borderId="15" xfId="0" applyBorder="1"/>
    <xf numFmtId="0" fontId="0" fillId="0" borderId="16" xfId="0" applyBorder="1"/>
    <xf numFmtId="0" fontId="0" fillId="0" borderId="17" xfId="0" applyBorder="1"/>
    <xf numFmtId="0" fontId="0" fillId="0" borderId="18" xfId="0" applyBorder="1"/>
    <xf numFmtId="0" fontId="8" fillId="0" borderId="0" xfId="0" applyFont="1"/>
    <xf numFmtId="0" fontId="0" fillId="0" borderId="19" xfId="0" applyBorder="1"/>
    <xf numFmtId="0" fontId="0" fillId="0" borderId="18" xfId="0" applyBorder="1" applyAlignment="1">
      <alignment vertical="center"/>
    </xf>
    <xf numFmtId="0" fontId="0" fillId="0" borderId="19" xfId="0" applyBorder="1" applyAlignment="1">
      <alignment vertical="center"/>
    </xf>
    <xf numFmtId="0" fontId="7" fillId="0" borderId="0" xfId="0" applyFont="1"/>
    <xf numFmtId="0" fontId="0" fillId="0" borderId="20" xfId="0" applyBorder="1"/>
    <xf numFmtId="0" fontId="0" fillId="0" borderId="21" xfId="0" applyBorder="1"/>
    <xf numFmtId="0" fontId="0" fillId="0" borderId="22" xfId="0" applyBorder="1"/>
    <xf numFmtId="0" fontId="9" fillId="0" borderId="5" xfId="0" applyFont="1" applyBorder="1" applyAlignment="1" applyProtection="1">
      <alignment horizontal="center"/>
      <protection locked="0"/>
    </xf>
    <xf numFmtId="0" fontId="9" fillId="0" borderId="8" xfId="0" applyFont="1" applyBorder="1" applyAlignment="1" applyProtection="1">
      <alignment horizontal="center"/>
      <protection locked="0"/>
    </xf>
    <xf numFmtId="0" fontId="0" fillId="11" borderId="4" xfId="0" applyFill="1" applyBorder="1" applyAlignment="1">
      <alignment horizontal="center"/>
    </xf>
    <xf numFmtId="11" fontId="0" fillId="11" borderId="0" xfId="0" applyNumberFormat="1" applyFill="1" applyAlignment="1">
      <alignment horizontal="center"/>
    </xf>
    <xf numFmtId="11" fontId="0" fillId="11" borderId="5" xfId="0" applyNumberFormat="1" applyFill="1" applyBorder="1" applyAlignment="1">
      <alignment horizontal="center"/>
    </xf>
    <xf numFmtId="11" fontId="0" fillId="11" borderId="4" xfId="0" applyNumberFormat="1" applyFill="1" applyBorder="1" applyAlignment="1">
      <alignment horizontal="center"/>
    </xf>
    <xf numFmtId="165" fontId="1" fillId="11" borderId="10" xfId="1" applyNumberFormat="1" applyFill="1" applyBorder="1" applyAlignment="1">
      <alignment horizontal="center"/>
    </xf>
    <xf numFmtId="10" fontId="0" fillId="11" borderId="10" xfId="1" applyNumberFormat="1" applyFont="1" applyFill="1" applyBorder="1" applyAlignment="1">
      <alignment horizontal="center"/>
    </xf>
    <xf numFmtId="0" fontId="4" fillId="0" borderId="4" xfId="0" applyFont="1" applyBorder="1" applyAlignment="1">
      <alignment horizontal="left" vertical="center"/>
    </xf>
    <xf numFmtId="0" fontId="0" fillId="0" borderId="0" xfId="0" applyAlignment="1">
      <alignment horizontal="center" vertical="center"/>
    </xf>
    <xf numFmtId="0" fontId="0" fillId="0" borderId="0" xfId="0" applyAlignment="1">
      <alignment horizontal="right" vertical="center"/>
    </xf>
    <xf numFmtId="1" fontId="0" fillId="2" borderId="5" xfId="0" applyNumberFormat="1" applyFill="1" applyBorder="1"/>
    <xf numFmtId="0" fontId="0" fillId="0" borderId="0" xfId="0" applyAlignment="1">
      <alignment wrapText="1"/>
    </xf>
    <xf numFmtId="0" fontId="0" fillId="0" borderId="0" xfId="0" applyAlignment="1">
      <alignment horizontal="center" wrapText="1"/>
    </xf>
    <xf numFmtId="0" fontId="6" fillId="0" borderId="4" xfId="0" applyFont="1" applyBorder="1" applyAlignment="1">
      <alignment horizontal="left" vertical="center"/>
    </xf>
    <xf numFmtId="0" fontId="9" fillId="0" borderId="5" xfId="0" applyFont="1" applyBorder="1" applyAlignment="1" applyProtection="1">
      <alignment horizontal="center" vertical="center"/>
      <protection locked="0"/>
    </xf>
    <xf numFmtId="0" fontId="6" fillId="0" borderId="0" xfId="0" applyFont="1" applyAlignment="1">
      <alignment horizontal="right"/>
    </xf>
    <xf numFmtId="0" fontId="6" fillId="0" borderId="4" xfId="0" applyFont="1" applyBorder="1"/>
    <xf numFmtId="0" fontId="6" fillId="0" borderId="7" xfId="0" applyFont="1" applyBorder="1" applyAlignment="1">
      <alignment horizontal="right"/>
    </xf>
    <xf numFmtId="0" fontId="6" fillId="0" borderId="0" xfId="0" applyFont="1" applyAlignment="1">
      <alignment wrapText="1"/>
    </xf>
    <xf numFmtId="0" fontId="6" fillId="0" borderId="0" xfId="0" applyFont="1" applyAlignment="1">
      <alignment horizontal="center"/>
    </xf>
    <xf numFmtId="0" fontId="9" fillId="0" borderId="5" xfId="1" applyNumberFormat="1" applyFont="1" applyFill="1" applyBorder="1" applyAlignment="1" applyProtection="1">
      <alignment horizontal="center"/>
      <protection locked="0"/>
    </xf>
    <xf numFmtId="0" fontId="6" fillId="0" borderId="12" xfId="0" applyFont="1" applyBorder="1" applyAlignment="1">
      <alignment horizontal="center"/>
    </xf>
    <xf numFmtId="0" fontId="0" fillId="0" borderId="13" xfId="0" applyBorder="1" applyAlignment="1">
      <alignment horizontal="center"/>
    </xf>
    <xf numFmtId="0" fontId="6" fillId="0" borderId="13" xfId="0" applyFont="1" applyBorder="1" applyAlignment="1">
      <alignment horizontal="right"/>
    </xf>
    <xf numFmtId="0" fontId="0" fillId="0" borderId="14" xfId="0" applyBorder="1" applyAlignment="1">
      <alignment horizontal="center"/>
    </xf>
    <xf numFmtId="0" fontId="6" fillId="12" borderId="1" xfId="0" applyFont="1" applyFill="1" applyBorder="1"/>
    <xf numFmtId="0" fontId="0" fillId="12" borderId="2" xfId="0" applyFill="1" applyBorder="1"/>
    <xf numFmtId="0" fontId="6" fillId="5" borderId="2" xfId="0" applyFont="1" applyFill="1" applyBorder="1" applyAlignment="1">
      <alignment horizontal="right"/>
    </xf>
    <xf numFmtId="11" fontId="0" fillId="12" borderId="3" xfId="0" applyNumberFormat="1" applyFill="1" applyBorder="1"/>
    <xf numFmtId="0" fontId="6" fillId="12" borderId="6" xfId="0" applyFont="1" applyFill="1" applyBorder="1"/>
    <xf numFmtId="0" fontId="0" fillId="12" borderId="7" xfId="0" applyFill="1" applyBorder="1"/>
    <xf numFmtId="0" fontId="6" fillId="12" borderId="7" xfId="0" applyFont="1" applyFill="1" applyBorder="1" applyAlignment="1">
      <alignment horizontal="right"/>
    </xf>
    <xf numFmtId="11" fontId="0" fillId="12" borderId="8" xfId="0" applyNumberFormat="1"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6" fillId="0" borderId="5"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1" fontId="0" fillId="6" borderId="4" xfId="1" applyNumberFormat="1" applyFont="1" applyFill="1" applyBorder="1" applyAlignment="1">
      <alignment horizontal="center"/>
    </xf>
    <xf numFmtId="2" fontId="0" fillId="6" borderId="0" xfId="1" applyNumberFormat="1" applyFont="1" applyFill="1" applyBorder="1" applyAlignment="1">
      <alignment horizontal="center"/>
    </xf>
    <xf numFmtId="11" fontId="0" fillId="6" borderId="0" xfId="1" applyNumberFormat="1" applyFont="1" applyFill="1" applyBorder="1" applyAlignment="1">
      <alignment horizontal="center"/>
    </xf>
    <xf numFmtId="11" fontId="0" fillId="6" borderId="5" xfId="1" applyNumberFormat="1" applyFont="1" applyFill="1" applyBorder="1" applyAlignment="1">
      <alignment horizontal="center"/>
    </xf>
    <xf numFmtId="11" fontId="0" fillId="3" borderId="0" xfId="1" applyNumberFormat="1" applyFont="1" applyFill="1" applyBorder="1" applyAlignment="1">
      <alignment horizontal="center"/>
    </xf>
    <xf numFmtId="1" fontId="0" fillId="4" borderId="4" xfId="1" applyNumberFormat="1" applyFont="1" applyFill="1" applyBorder="1" applyAlignment="1">
      <alignment horizontal="center"/>
    </xf>
    <xf numFmtId="2" fontId="0" fillId="4" borderId="0" xfId="1" applyNumberFormat="1" applyFont="1" applyFill="1" applyBorder="1" applyAlignment="1">
      <alignment horizontal="center"/>
    </xf>
    <xf numFmtId="11" fontId="0" fillId="4" borderId="0" xfId="1" applyNumberFormat="1" applyFont="1" applyFill="1" applyBorder="1" applyAlignment="1">
      <alignment horizontal="center"/>
    </xf>
    <xf numFmtId="11" fontId="0" fillId="4" borderId="5" xfId="1" applyNumberFormat="1" applyFont="1" applyFill="1" applyBorder="1" applyAlignment="1">
      <alignment horizontal="center"/>
    </xf>
    <xf numFmtId="1" fontId="0" fillId="11" borderId="4" xfId="1" applyNumberFormat="1" applyFont="1" applyFill="1" applyBorder="1" applyAlignment="1">
      <alignment horizontal="center"/>
    </xf>
    <xf numFmtId="2" fontId="0" fillId="11" borderId="0" xfId="1" applyNumberFormat="1" applyFont="1" applyFill="1" applyBorder="1" applyAlignment="1">
      <alignment horizontal="center"/>
    </xf>
    <xf numFmtId="11" fontId="0" fillId="11" borderId="0" xfId="1" applyNumberFormat="1" applyFont="1" applyFill="1" applyBorder="1" applyAlignment="1">
      <alignment horizontal="center"/>
    </xf>
    <xf numFmtId="11" fontId="0" fillId="11" borderId="5" xfId="1" applyNumberFormat="1" applyFont="1" applyFill="1" applyBorder="1" applyAlignment="1">
      <alignment horizontal="center"/>
    </xf>
    <xf numFmtId="1" fontId="0" fillId="3" borderId="4" xfId="1" applyNumberFormat="1" applyFont="1" applyFill="1" applyBorder="1" applyAlignment="1">
      <alignment horizontal="center"/>
    </xf>
    <xf numFmtId="2" fontId="0" fillId="3" borderId="0" xfId="1" applyNumberFormat="1" applyFont="1" applyFill="1" applyBorder="1" applyAlignment="1">
      <alignment horizontal="center"/>
    </xf>
    <xf numFmtId="11" fontId="0" fillId="3" borderId="5" xfId="1" applyNumberFormat="1" applyFont="1" applyFill="1" applyBorder="1" applyAlignment="1">
      <alignment horizontal="center"/>
    </xf>
    <xf numFmtId="0" fontId="9" fillId="0" borderId="0" xfId="0" applyFont="1" applyAlignment="1" applyProtection="1">
      <alignment horizontal="center"/>
      <protection locked="0"/>
    </xf>
    <xf numFmtId="0" fontId="6" fillId="0" borderId="2" xfId="0" applyFont="1" applyBorder="1" applyAlignment="1">
      <alignment horizontal="right"/>
    </xf>
    <xf numFmtId="0" fontId="9" fillId="0" borderId="3" xfId="0" applyFont="1" applyBorder="1" applyAlignment="1" applyProtection="1">
      <alignment horizontal="center"/>
      <protection locked="0"/>
    </xf>
    <xf numFmtId="0" fontId="0" fillId="13" borderId="4" xfId="0" applyFill="1" applyBorder="1"/>
    <xf numFmtId="0" fontId="0" fillId="13" borderId="0" xfId="0" applyFill="1"/>
    <xf numFmtId="0" fontId="6" fillId="13" borderId="0" xfId="0" applyFont="1" applyFill="1" applyAlignment="1">
      <alignment horizontal="right"/>
    </xf>
    <xf numFmtId="0" fontId="0" fillId="12" borderId="0" xfId="0" applyFill="1"/>
    <xf numFmtId="0" fontId="0" fillId="12" borderId="5" xfId="0" applyFill="1" applyBorder="1"/>
    <xf numFmtId="0" fontId="0" fillId="12" borderId="4" xfId="0" applyFill="1" applyBorder="1"/>
    <xf numFmtId="11" fontId="0" fillId="12" borderId="5" xfId="0" applyNumberFormat="1" applyFill="1" applyBorder="1"/>
    <xf numFmtId="0" fontId="9" fillId="0" borderId="5" xfId="1" applyNumberFormat="1" applyFont="1" applyBorder="1" applyAlignment="1" applyProtection="1">
      <alignment horizontal="center"/>
      <protection locked="0"/>
    </xf>
    <xf numFmtId="0" fontId="4" fillId="0" borderId="4" xfId="0" applyFont="1" applyBorder="1"/>
    <xf numFmtId="0" fontId="6" fillId="2" borderId="4" xfId="0" applyFont="1" applyFill="1" applyBorder="1"/>
    <xf numFmtId="0" fontId="10" fillId="12" borderId="4" xfId="0" applyFont="1" applyFill="1" applyBorder="1"/>
    <xf numFmtId="0" fontId="6" fillId="12" borderId="0" xfId="0" applyFont="1" applyFill="1"/>
    <xf numFmtId="0" fontId="0" fillId="12" borderId="6" xfId="0" applyFill="1" applyBorder="1"/>
    <xf numFmtId="0" fontId="6" fillId="12" borderId="7" xfId="0" applyFont="1" applyFill="1" applyBorder="1"/>
    <xf numFmtId="11" fontId="6" fillId="12" borderId="8" xfId="0" applyNumberFormat="1" applyFont="1" applyFill="1" applyBorder="1"/>
    <xf numFmtId="0" fontId="4" fillId="14" borderId="1" xfId="0" applyFont="1" applyFill="1" applyBorder="1"/>
    <xf numFmtId="0" fontId="4" fillId="14" borderId="2" xfId="0" applyFont="1" applyFill="1" applyBorder="1"/>
    <xf numFmtId="0" fontId="0" fillId="14" borderId="3" xfId="0" applyFill="1" applyBorder="1"/>
    <xf numFmtId="0" fontId="10" fillId="14" borderId="4" xfId="0" applyFont="1" applyFill="1" applyBorder="1"/>
    <xf numFmtId="0" fontId="0" fillId="14" borderId="0" xfId="0" applyFill="1"/>
    <xf numFmtId="0" fontId="0" fillId="14" borderId="5" xfId="0" applyFill="1" applyBorder="1"/>
    <xf numFmtId="0" fontId="4" fillId="8" borderId="1" xfId="0" applyFont="1" applyFill="1" applyBorder="1" applyAlignment="1">
      <alignment vertical="center"/>
    </xf>
    <xf numFmtId="0" fontId="0" fillId="8" borderId="2" xfId="0" applyFill="1" applyBorder="1"/>
    <xf numFmtId="0" fontId="0" fillId="8" borderId="3" xfId="0" applyFill="1" applyBorder="1"/>
    <xf numFmtId="0" fontId="4" fillId="0" borderId="6" xfId="0" applyFont="1" applyBorder="1"/>
    <xf numFmtId="0" fontId="0" fillId="0" borderId="2" xfId="0" applyBorder="1" applyAlignment="1">
      <alignment horizontal="right"/>
    </xf>
    <xf numFmtId="0" fontId="6" fillId="0" borderId="1" xfId="0" applyFont="1" applyBorder="1"/>
    <xf numFmtId="0" fontId="0" fillId="0" borderId="12" xfId="0" applyBorder="1"/>
    <xf numFmtId="0" fontId="0" fillId="0" borderId="13" xfId="0" applyBorder="1"/>
    <xf numFmtId="0" fontId="0" fillId="4" borderId="14" xfId="0" applyFill="1" applyBorder="1" applyAlignment="1">
      <alignment horizontal="center"/>
    </xf>
    <xf numFmtId="14" fontId="6" fillId="0" borderId="0" xfId="0" applyNumberFormat="1" applyFont="1" applyAlignment="1">
      <alignment horizontal="center"/>
    </xf>
    <xf numFmtId="0" fontId="6" fillId="0" borderId="6" xfId="0" applyFont="1" applyBorder="1" applyAlignment="1" applyProtection="1">
      <alignment horizontal="left"/>
      <protection locked="0"/>
    </xf>
    <xf numFmtId="0" fontId="6" fillId="0" borderId="7" xfId="0" applyFont="1" applyBorder="1" applyAlignment="1" applyProtection="1">
      <alignment horizontal="left"/>
      <protection locked="0"/>
    </xf>
    <xf numFmtId="0" fontId="6" fillId="0" borderId="8" xfId="0" applyFont="1" applyBorder="1" applyAlignment="1" applyProtection="1">
      <alignment horizontal="left"/>
      <protection locked="0"/>
    </xf>
    <xf numFmtId="0" fontId="6" fillId="0" borderId="12" xfId="0" applyFont="1" applyBorder="1" applyAlignment="1" applyProtection="1">
      <alignment horizontal="left"/>
      <protection locked="0"/>
    </xf>
    <xf numFmtId="0" fontId="6" fillId="0" borderId="13" xfId="0" applyFont="1" applyBorder="1" applyAlignment="1" applyProtection="1">
      <alignment horizontal="left"/>
      <protection locked="0"/>
    </xf>
    <xf numFmtId="0" fontId="6" fillId="0" borderId="14" xfId="0" applyFont="1" applyBorder="1" applyAlignment="1" applyProtection="1">
      <alignment horizontal="left"/>
      <protection locked="0"/>
    </xf>
    <xf numFmtId="2" fontId="0" fillId="12" borderId="5" xfId="0" applyNumberFormat="1" applyFill="1" applyBorder="1"/>
    <xf numFmtId="2" fontId="0" fillId="12" borderId="8" xfId="0" applyNumberFormat="1" applyFill="1" applyBorder="1"/>
    <xf numFmtId="11" fontId="0" fillId="0" borderId="2" xfId="0" applyNumberFormat="1" applyBorder="1" applyAlignment="1">
      <alignment horizontal="center"/>
    </xf>
    <xf numFmtId="11" fontId="0" fillId="0" borderId="3" xfId="0" applyNumberFormat="1" applyBorder="1" applyAlignment="1">
      <alignment horizontal="center"/>
    </xf>
    <xf numFmtId="11" fontId="6" fillId="0" borderId="7" xfId="0" applyNumberFormat="1" applyFont="1" applyBorder="1" applyAlignment="1">
      <alignment horizontal="center"/>
    </xf>
    <xf numFmtId="11" fontId="0" fillId="15" borderId="0" xfId="0" applyNumberFormat="1" applyFill="1" applyAlignment="1">
      <alignment horizontal="center"/>
    </xf>
    <xf numFmtId="11" fontId="4" fillId="14" borderId="4" xfId="0" applyNumberFormat="1" applyFont="1" applyFill="1" applyBorder="1" applyAlignment="1">
      <alignment horizontal="left"/>
    </xf>
    <xf numFmtId="11" fontId="6" fillId="14" borderId="0" xfId="0" applyNumberFormat="1" applyFont="1" applyFill="1" applyAlignment="1">
      <alignment horizontal="left"/>
    </xf>
    <xf numFmtId="11" fontId="0" fillId="14" borderId="0" xfId="0" applyNumberFormat="1" applyFill="1" applyAlignment="1">
      <alignment horizontal="center"/>
    </xf>
    <xf numFmtId="11" fontId="0" fillId="14" borderId="4" xfId="0" applyNumberFormat="1" applyFill="1" applyBorder="1" applyAlignment="1">
      <alignment horizontal="center"/>
    </xf>
    <xf numFmtId="11" fontId="6" fillId="12" borderId="6" xfId="0" applyNumberFormat="1" applyFont="1" applyFill="1" applyBorder="1" applyAlignment="1">
      <alignment horizontal="left"/>
    </xf>
    <xf numFmtId="11" fontId="0" fillId="12" borderId="7" xfId="0" applyNumberFormat="1" applyFill="1" applyBorder="1" applyAlignment="1">
      <alignment horizontal="center"/>
    </xf>
    <xf numFmtId="11" fontId="6" fillId="0" borderId="5" xfId="0" applyNumberFormat="1" applyFont="1" applyBorder="1" applyAlignment="1">
      <alignment horizontal="center"/>
    </xf>
    <xf numFmtId="11" fontId="0" fillId="14" borderId="5" xfId="0" applyNumberFormat="1" applyFill="1" applyBorder="1"/>
    <xf numFmtId="11" fontId="6" fillId="0" borderId="8" xfId="0" applyNumberFormat="1" applyFont="1" applyBorder="1" applyAlignment="1">
      <alignment horizontal="center"/>
    </xf>
    <xf numFmtId="0" fontId="7" fillId="0" borderId="4" xfId="0" applyFont="1" applyBorder="1"/>
    <xf numFmtId="0" fontId="12" fillId="0" borderId="4" xfId="0" applyFont="1" applyBorder="1"/>
    <xf numFmtId="0" fontId="13" fillId="0" borderId="5" xfId="0" applyFont="1" applyBorder="1" applyAlignment="1">
      <alignment horizontal="center"/>
    </xf>
    <xf numFmtId="0" fontId="12" fillId="0" borderId="6" xfId="0" applyFont="1" applyBorder="1"/>
    <xf numFmtId="0" fontId="13" fillId="0" borderId="8" xfId="0" applyFont="1" applyBorder="1" applyAlignment="1">
      <alignment horizontal="center"/>
    </xf>
    <xf numFmtId="11" fontId="4" fillId="14" borderId="1" xfId="0" applyNumberFormat="1" applyFont="1" applyFill="1" applyBorder="1" applyAlignment="1">
      <alignment horizontal="left"/>
    </xf>
    <xf numFmtId="11" fontId="0" fillId="14" borderId="2" xfId="0" applyNumberFormat="1" applyFill="1" applyBorder="1" applyAlignment="1">
      <alignment horizontal="center"/>
    </xf>
    <xf numFmtId="11" fontId="0" fillId="14" borderId="3" xfId="0" applyNumberFormat="1" applyFill="1" applyBorder="1"/>
    <xf numFmtId="11" fontId="6" fillId="12" borderId="1" xfId="0" applyNumberFormat="1" applyFont="1" applyFill="1" applyBorder="1" applyAlignment="1">
      <alignment horizontal="left"/>
    </xf>
    <xf numFmtId="11" fontId="6" fillId="12" borderId="2" xfId="0" applyNumberFormat="1" applyFont="1" applyFill="1" applyBorder="1" applyAlignment="1">
      <alignment horizontal="center"/>
    </xf>
    <xf numFmtId="11" fontId="0" fillId="12" borderId="2" xfId="0" applyNumberFormat="1" applyFill="1" applyBorder="1" applyAlignment="1">
      <alignment horizontal="center"/>
    </xf>
    <xf numFmtId="11" fontId="0" fillId="12" borderId="0" xfId="0" applyNumberFormat="1" applyFill="1" applyAlignment="1">
      <alignment horizontal="center"/>
    </xf>
    <xf numFmtId="11" fontId="6" fillId="12" borderId="4" xfId="0" applyNumberFormat="1" applyFont="1" applyFill="1" applyBorder="1" applyAlignment="1">
      <alignment horizontal="left"/>
    </xf>
    <xf numFmtId="11" fontId="6" fillId="12" borderId="7" xfId="0" applyNumberFormat="1" applyFont="1" applyFill="1" applyBorder="1" applyAlignment="1">
      <alignment horizontal="center"/>
    </xf>
    <xf numFmtId="0" fontId="6" fillId="0" borderId="6" xfId="0" applyFont="1" applyBorder="1"/>
    <xf numFmtId="11" fontId="6" fillId="0" borderId="0" xfId="0" applyNumberFormat="1" applyFont="1" applyAlignment="1">
      <alignment horizontal="left" vertical="center"/>
    </xf>
    <xf numFmtId="11" fontId="6" fillId="0" borderId="0" xfId="0" applyNumberFormat="1" applyFont="1" applyAlignment="1">
      <alignment horizontal="left"/>
    </xf>
    <xf numFmtId="0" fontId="0" fillId="0" borderId="23" xfId="0" applyBorder="1"/>
    <xf numFmtId="0" fontId="14" fillId="0" borderId="0" xfId="0" applyFont="1" applyAlignment="1">
      <alignment horizontal="left" vertical="center"/>
    </xf>
    <xf numFmtId="0" fontId="6" fillId="0" borderId="0" xfId="0" applyFont="1" applyAlignment="1">
      <alignment vertical="center"/>
    </xf>
    <xf numFmtId="0" fontId="0" fillId="12" borderId="0" xfId="0" applyFill="1" applyAlignment="1">
      <alignment horizontal="center"/>
    </xf>
    <xf numFmtId="0" fontId="0" fillId="12" borderId="0" xfId="0" applyFill="1" applyAlignment="1">
      <alignment horizontal="right"/>
    </xf>
    <xf numFmtId="11" fontId="0" fillId="12" borderId="5" xfId="0" applyNumberFormat="1" applyFill="1" applyBorder="1" applyAlignment="1">
      <alignment horizontal="left"/>
    </xf>
    <xf numFmtId="0" fontId="6" fillId="12" borderId="0" xfId="0" applyFont="1" applyFill="1" applyAlignment="1">
      <alignment horizontal="right"/>
    </xf>
    <xf numFmtId="0" fontId="7" fillId="12" borderId="4" xfId="0" applyFont="1" applyFill="1" applyBorder="1"/>
    <xf numFmtId="11" fontId="6" fillId="0" borderId="0" xfId="0" applyNumberFormat="1" applyFont="1" applyAlignment="1">
      <alignment horizontal="center"/>
    </xf>
    <xf numFmtId="1" fontId="0" fillId="12" borderId="5" xfId="0" applyNumberFormat="1" applyFill="1" applyBorder="1"/>
    <xf numFmtId="0" fontId="6" fillId="0" borderId="6" xfId="0" applyFont="1" applyBorder="1" applyAlignment="1">
      <alignment horizontal="left"/>
    </xf>
    <xf numFmtId="0" fontId="16" fillId="0" borderId="0" xfId="0" applyFont="1" applyAlignment="1">
      <alignment horizontal="center"/>
    </xf>
    <xf numFmtId="0" fontId="6" fillId="0" borderId="0" xfId="0" applyFont="1" applyAlignment="1" applyProtection="1">
      <alignment horizontal="left"/>
      <protection locked="0"/>
    </xf>
    <xf numFmtId="2" fontId="6" fillId="0" borderId="0" xfId="0" applyNumberFormat="1" applyFont="1" applyAlignment="1" applyProtection="1">
      <alignment horizontal="left"/>
      <protection locked="0"/>
    </xf>
    <xf numFmtId="0" fontId="11" fillId="0" borderId="6" xfId="0" applyFont="1" applyBorder="1" applyAlignment="1" applyProtection="1">
      <alignment horizontal="center"/>
      <protection locked="0"/>
    </xf>
    <xf numFmtId="0" fontId="11" fillId="0" borderId="12" xfId="0" applyFont="1" applyBorder="1" applyAlignment="1" applyProtection="1">
      <alignment horizontal="center"/>
      <protection locked="0"/>
    </xf>
    <xf numFmtId="0" fontId="0" fillId="0" borderId="14" xfId="0" applyBorder="1"/>
    <xf numFmtId="0" fontId="0" fillId="12" borderId="7" xfId="0" applyFill="1" applyBorder="1" applyAlignment="1">
      <alignment horizontal="right"/>
    </xf>
    <xf numFmtId="0" fontId="12" fillId="12" borderId="0" xfId="0" applyFont="1" applyFill="1"/>
    <xf numFmtId="0" fontId="12" fillId="12" borderId="0" xfId="0" applyFont="1" applyFill="1" applyAlignment="1">
      <alignment horizontal="right"/>
    </xf>
    <xf numFmtId="0" fontId="15" fillId="12" borderId="4" xfId="0" applyFont="1" applyFill="1" applyBorder="1"/>
    <xf numFmtId="0" fontId="7" fillId="12" borderId="6" xfId="0" applyFont="1" applyFill="1" applyBorder="1"/>
    <xf numFmtId="1" fontId="6" fillId="12" borderId="8" xfId="0" applyNumberFormat="1" applyFont="1" applyFill="1" applyBorder="1"/>
    <xf numFmtId="0" fontId="6" fillId="12" borderId="7" xfId="0" applyFont="1" applyFill="1" applyBorder="1" applyAlignment="1">
      <alignment horizontal="center"/>
    </xf>
    <xf numFmtId="0" fontId="17" fillId="0" borderId="0" xfId="0" applyFont="1" applyAlignment="1">
      <alignment horizontal="center"/>
    </xf>
    <xf numFmtId="1" fontId="16" fillId="0" borderId="7" xfId="0" applyNumberFormat="1" applyFont="1" applyBorder="1" applyAlignment="1">
      <alignment horizontal="center"/>
    </xf>
    <xf numFmtId="1" fontId="6" fillId="0" borderId="1" xfId="1" applyNumberFormat="1" applyFont="1" applyBorder="1" applyAlignment="1">
      <alignment horizontal="center"/>
    </xf>
    <xf numFmtId="2" fontId="6" fillId="0" borderId="2" xfId="1" applyNumberFormat="1" applyFont="1" applyBorder="1" applyAlignment="1">
      <alignment horizontal="center"/>
    </xf>
    <xf numFmtId="11" fontId="6" fillId="0" borderId="2" xfId="1" applyNumberFormat="1" applyFont="1" applyBorder="1" applyAlignment="1">
      <alignment horizontal="center"/>
    </xf>
    <xf numFmtId="11" fontId="6" fillId="0" borderId="3" xfId="1" applyNumberFormat="1" applyFont="1" applyBorder="1" applyAlignment="1">
      <alignment horizontal="center"/>
    </xf>
    <xf numFmtId="1" fontId="6" fillId="5" borderId="4" xfId="1" applyNumberFormat="1" applyFont="1" applyFill="1" applyBorder="1" applyAlignment="1">
      <alignment horizontal="center"/>
    </xf>
    <xf numFmtId="2" fontId="6" fillId="5" borderId="0" xfId="1" applyNumberFormat="1" applyFont="1" applyFill="1" applyBorder="1" applyAlignment="1">
      <alignment horizontal="center"/>
    </xf>
    <xf numFmtId="11" fontId="6" fillId="5" borderId="0" xfId="1" applyNumberFormat="1" applyFont="1" applyFill="1" applyBorder="1" applyAlignment="1">
      <alignment horizontal="center"/>
    </xf>
    <xf numFmtId="11" fontId="6" fillId="5" borderId="5" xfId="1" applyNumberFormat="1" applyFont="1" applyFill="1" applyBorder="1" applyAlignment="1">
      <alignment horizontal="center"/>
    </xf>
    <xf numFmtId="1" fontId="6" fillId="4" borderId="4" xfId="1" applyNumberFormat="1" applyFont="1" applyFill="1" applyBorder="1" applyAlignment="1">
      <alignment horizontal="center"/>
    </xf>
    <xf numFmtId="2" fontId="6" fillId="4" borderId="0" xfId="1" applyNumberFormat="1" applyFont="1" applyFill="1" applyBorder="1" applyAlignment="1">
      <alignment horizontal="center"/>
    </xf>
    <xf numFmtId="11" fontId="6" fillId="4" borderId="0" xfId="1" applyNumberFormat="1" applyFont="1" applyFill="1" applyBorder="1" applyAlignment="1">
      <alignment horizontal="center"/>
    </xf>
    <xf numFmtId="11" fontId="6" fillId="4" borderId="5" xfId="1" applyNumberFormat="1" applyFont="1" applyFill="1" applyBorder="1" applyAlignment="1">
      <alignment horizontal="center"/>
    </xf>
    <xf numFmtId="1" fontId="6" fillId="3" borderId="4" xfId="1" applyNumberFormat="1" applyFont="1" applyFill="1" applyBorder="1" applyAlignment="1">
      <alignment horizontal="center"/>
    </xf>
    <xf numFmtId="2" fontId="6" fillId="3" borderId="0" xfId="1" applyNumberFormat="1" applyFont="1" applyFill="1" applyBorder="1" applyAlignment="1">
      <alignment horizontal="center"/>
    </xf>
    <xf numFmtId="11" fontId="6" fillId="3" borderId="0" xfId="1" applyNumberFormat="1" applyFont="1" applyFill="1" applyBorder="1" applyAlignment="1">
      <alignment horizontal="center"/>
    </xf>
    <xf numFmtId="11" fontId="6" fillId="3" borderId="5" xfId="1" applyNumberFormat="1" applyFont="1" applyFill="1" applyBorder="1" applyAlignment="1">
      <alignment horizontal="center"/>
    </xf>
    <xf numFmtId="1" fontId="6" fillId="6" borderId="4" xfId="1" applyNumberFormat="1" applyFont="1" applyFill="1" applyBorder="1" applyAlignment="1">
      <alignment horizontal="center"/>
    </xf>
    <xf numFmtId="2" fontId="6" fillId="6" borderId="0" xfId="1" applyNumberFormat="1" applyFont="1" applyFill="1" applyBorder="1" applyAlignment="1">
      <alignment horizontal="center"/>
    </xf>
    <xf numFmtId="11" fontId="6" fillId="6" borderId="0" xfId="1" applyNumberFormat="1" applyFont="1" applyFill="1" applyBorder="1" applyAlignment="1">
      <alignment horizontal="center"/>
    </xf>
    <xf numFmtId="11" fontId="6" fillId="6" borderId="5" xfId="1" applyNumberFormat="1" applyFont="1" applyFill="1" applyBorder="1" applyAlignment="1">
      <alignment horizontal="center"/>
    </xf>
    <xf numFmtId="1" fontId="6" fillId="0" borderId="4" xfId="1" applyNumberFormat="1" applyFont="1" applyBorder="1" applyAlignment="1">
      <alignment horizontal="center"/>
    </xf>
    <xf numFmtId="2" fontId="6" fillId="0" borderId="0" xfId="1" applyNumberFormat="1" applyFont="1" applyBorder="1" applyAlignment="1">
      <alignment horizontal="center"/>
    </xf>
    <xf numFmtId="11" fontId="6" fillId="0" borderId="0" xfId="1" applyNumberFormat="1" applyFont="1" applyBorder="1" applyAlignment="1">
      <alignment horizontal="center"/>
    </xf>
    <xf numFmtId="11" fontId="6" fillId="0" borderId="5" xfId="1" applyNumberFormat="1" applyFont="1" applyBorder="1" applyAlignment="1">
      <alignment horizontal="center"/>
    </xf>
    <xf numFmtId="1" fontId="6" fillId="0" borderId="6" xfId="1" applyNumberFormat="1" applyFont="1" applyFill="1" applyBorder="1" applyAlignment="1">
      <alignment horizontal="center"/>
    </xf>
    <xf numFmtId="2" fontId="6" fillId="0" borderId="7" xfId="1" applyNumberFormat="1" applyFont="1" applyFill="1" applyBorder="1" applyAlignment="1">
      <alignment horizontal="center"/>
    </xf>
    <xf numFmtId="11" fontId="6" fillId="0" borderId="7" xfId="1" applyNumberFormat="1" applyFont="1" applyFill="1" applyBorder="1" applyAlignment="1">
      <alignment horizontal="center"/>
    </xf>
    <xf numFmtId="11" fontId="6" fillId="0" borderId="8" xfId="1" applyNumberFormat="1" applyFont="1" applyFill="1" applyBorder="1" applyAlignment="1">
      <alignment horizontal="center"/>
    </xf>
    <xf numFmtId="0" fontId="9" fillId="0" borderId="7" xfId="0" applyFont="1" applyBorder="1" applyAlignment="1" applyProtection="1">
      <alignment horizontal="center"/>
      <protection locked="0"/>
    </xf>
    <xf numFmtId="0" fontId="9" fillId="0" borderId="8" xfId="0" applyFont="1" applyBorder="1" applyAlignment="1" applyProtection="1">
      <alignment horizontal="center"/>
      <protection locked="0"/>
    </xf>
  </cellXfs>
  <cellStyles count="2">
    <cellStyle name="Normal" xfId="0" builtinId="0"/>
    <cellStyle name="Percent" xfId="1" builtinId="5"/>
  </cellStyles>
  <dxfs count="10">
    <dxf>
      <fill>
        <patternFill>
          <bgColor indexed="45"/>
        </patternFill>
      </fill>
    </dxf>
    <dxf>
      <fill>
        <patternFill>
          <bgColor indexed="41"/>
        </patternFill>
      </fill>
    </dxf>
    <dxf>
      <fill>
        <patternFill>
          <bgColor indexed="43"/>
        </patternFill>
      </fill>
    </dxf>
    <dxf>
      <fill>
        <patternFill>
          <bgColor indexed="45"/>
        </patternFill>
      </fill>
    </dxf>
    <dxf>
      <fill>
        <patternFill patternType="solid">
          <fgColor indexed="49"/>
          <bgColor indexed="44"/>
        </patternFill>
      </fill>
    </dxf>
    <dxf>
      <fill>
        <patternFill>
          <bgColor indexed="13"/>
        </patternFill>
      </fill>
    </dxf>
    <dxf>
      <font>
        <b/>
        <i val="0"/>
        <condense val="0"/>
        <extend val="0"/>
        <color indexed="10"/>
      </font>
      <fill>
        <patternFill patternType="none">
          <fgColor indexed="64"/>
          <bgColor indexed="65"/>
        </patternFill>
      </fill>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11</xdr:col>
      <xdr:colOff>607055</xdr:colOff>
      <xdr:row>68</xdr:row>
      <xdr:rowOff>155568</xdr:rowOff>
    </xdr:to>
    <xdr:sp macro="" textlink="">
      <xdr:nvSpPr>
        <xdr:cNvPr id="4" name="TextBox 3">
          <a:extLst>
            <a:ext uri="{FF2B5EF4-FFF2-40B4-BE49-F238E27FC236}">
              <a16:creationId xmlns:a16="http://schemas.microsoft.com/office/drawing/2014/main" id="{CF50CCC8-3DD4-6903-6321-1D572B2BDE98}"/>
            </a:ext>
          </a:extLst>
        </xdr:cNvPr>
        <xdr:cNvSpPr txBox="1"/>
      </xdr:nvSpPr>
      <xdr:spPr>
        <a:xfrm>
          <a:off x="0" y="7620"/>
          <a:ext cx="6842760" cy="1240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sz="1400" b="1" i="0" cap="all" baseline="0">
            <a:solidFill>
              <a:schemeClr val="dk1"/>
            </a:solidFill>
            <a:latin typeface="Times New Roman" pitchFamily="18" charset="0"/>
            <a:ea typeface="+mn-ea"/>
            <a:cs typeface="Times New Roman" pitchFamily="18" charset="0"/>
          </a:endParaRPr>
        </a:p>
        <a:p>
          <a:r>
            <a:rPr lang="en-US" sz="1400" b="1" i="0" cap="all" baseline="0">
              <a:solidFill>
                <a:schemeClr val="dk1"/>
              </a:solidFill>
              <a:latin typeface="Times New Roman" pitchFamily="18" charset="0"/>
              <a:ea typeface="+mn-ea"/>
              <a:cs typeface="Times New Roman" pitchFamily="18" charset="0"/>
            </a:rPr>
            <a:t>Glider Mission Spreadsheet Guide</a:t>
          </a:r>
          <a:endParaRPr lang="en-US" sz="1400" b="1" i="0" baseline="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endParaRPr lang="en-US" sz="1100">
            <a:solidFill>
              <a:schemeClr val="dk1"/>
            </a:solidFill>
            <a:latin typeface="Times New Roman" pitchFamily="18" charset="0"/>
            <a:ea typeface="+mn-ea"/>
            <a:cs typeface="Times New Roman" pitchFamily="18" charset="0"/>
          </a:endParaRPr>
        </a:p>
        <a:p>
          <a:pPr>
            <a:lnSpc>
              <a:spcPts val="1200"/>
            </a:lnSpc>
          </a:pP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a:solidFill>
                <a:schemeClr val="dk1"/>
              </a:solidFill>
              <a:latin typeface="Times New Roman" pitchFamily="18" charset="0"/>
              <a:ea typeface="+mn-ea"/>
              <a:cs typeface="Times New Roman" pitchFamily="18" charset="0"/>
            </a:rPr>
            <a:t>There are three pages included with the Glider Mission Spreadsheet, one of which (the </a:t>
          </a:r>
          <a:r>
            <a:rPr lang="en-US" sz="1100" i="1">
              <a:solidFill>
                <a:schemeClr val="dk1"/>
              </a:solidFill>
              <a:latin typeface="Times New Roman" pitchFamily="18" charset="0"/>
              <a:ea typeface="+mn-ea"/>
              <a:cs typeface="Times New Roman" pitchFamily="18" charset="0"/>
            </a:rPr>
            <a:t>Glider Parameters </a:t>
          </a:r>
          <a:r>
            <a:rPr lang="en-US" sz="1100">
              <a:solidFill>
                <a:schemeClr val="dk1"/>
              </a:solidFill>
              <a:latin typeface="Times New Roman" pitchFamily="18" charset="0"/>
              <a:ea typeface="+mn-ea"/>
              <a:cs typeface="Times New Roman" pitchFamily="18" charset="0"/>
            </a:rPr>
            <a:t>page) is visible to users, and  two of which (the </a:t>
          </a:r>
          <a:r>
            <a:rPr lang="en-US" sz="1100" i="1">
              <a:solidFill>
                <a:schemeClr val="dk1"/>
              </a:solidFill>
              <a:latin typeface="Times New Roman" pitchFamily="18" charset="0"/>
              <a:ea typeface="+mn-ea"/>
              <a:cs typeface="Times New Roman" pitchFamily="18" charset="0"/>
            </a:rPr>
            <a:t>Revision Info</a:t>
          </a:r>
          <a:r>
            <a:rPr lang="en-US" sz="1100">
              <a:solidFill>
                <a:schemeClr val="dk1"/>
              </a:solidFill>
              <a:latin typeface="Times New Roman" pitchFamily="18" charset="0"/>
              <a:ea typeface="+mn-ea"/>
              <a:cs typeface="Times New Roman" pitchFamily="18" charset="0"/>
            </a:rPr>
            <a:t> and </a:t>
          </a:r>
          <a:r>
            <a:rPr lang="en-US" sz="1100" i="1">
              <a:solidFill>
                <a:schemeClr val="dk1"/>
              </a:solidFill>
              <a:latin typeface="Times New Roman" pitchFamily="18" charset="0"/>
              <a:ea typeface="+mn-ea"/>
              <a:cs typeface="Times New Roman" pitchFamily="18" charset="0"/>
            </a:rPr>
            <a:t>Glider Model</a:t>
          </a:r>
          <a:r>
            <a:rPr lang="en-US" sz="1100">
              <a:solidFill>
                <a:schemeClr val="dk1"/>
              </a:solidFill>
              <a:latin typeface="Times New Roman" pitchFamily="18" charset="0"/>
              <a:ea typeface="+mn-ea"/>
              <a:cs typeface="Times New Roman" pitchFamily="18" charset="0"/>
            </a:rPr>
            <a:t> pages) are locked and not visible</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The Glider Parameters page is intended as a relatively concise area in which users can enter data (such as mission parameters, battery configurations &amp; sensor data).</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The Glider Model page contains</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pre-configured data on glider components such as buoyancy pumps, pitch motors</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and built-in sensors. This page also contains formulas to calculate </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parameters (such as the total glider duration, distance travelled &amp; data</a:t>
          </a:r>
          <a:r>
            <a:rPr lang="en-US" sz="1100" i="1">
              <a:solidFill>
                <a:schemeClr val="dk1"/>
              </a:solidFill>
              <a:latin typeface="Times New Roman" pitchFamily="18" charset="0"/>
              <a:ea typeface="+mn-ea"/>
              <a:cs typeface="Times New Roman" pitchFamily="18" charset="0"/>
            </a:rPr>
            <a:t> </a:t>
          </a:r>
          <a:r>
            <a:rPr lang="en-US" sz="1100">
              <a:solidFill>
                <a:schemeClr val="dk1"/>
              </a:solidFill>
              <a:latin typeface="Times New Roman" pitchFamily="18" charset="0"/>
              <a:ea typeface="+mn-ea"/>
              <a:cs typeface="Times New Roman" pitchFamily="18" charset="0"/>
            </a:rPr>
            <a:t>transmission totals).</a:t>
          </a: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a:solidFill>
                <a:schemeClr val="dk1"/>
              </a:solidFill>
              <a:latin typeface="Times New Roman" pitchFamily="18" charset="0"/>
              <a:ea typeface="+mn-ea"/>
              <a:cs typeface="Times New Roman" pitchFamily="18" charset="0"/>
            </a:rPr>
            <a:t>Since the Glider Parameters page is visible to users, this note briefly describes the input panels, and the calculated output parameters resulting from users entering input on this page. Note that panels colored white allow user input, while panels colored yellow (the Calculated Parameters &amp; Data Transmission panels) display calculated results only.</a:t>
          </a: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Mission Parameters </a:t>
          </a:r>
          <a:r>
            <a:rPr lang="en-US" sz="1100" u="sng">
              <a:solidFill>
                <a:schemeClr val="dk1"/>
              </a:solidFill>
              <a:latin typeface="Times New Roman" pitchFamily="18" charset="0"/>
              <a:ea typeface="+mn-ea"/>
              <a:cs typeface="Times New Roman" pitchFamily="18" charset="0"/>
            </a:rPr>
            <a:t>and</a:t>
          </a:r>
          <a:r>
            <a:rPr lang="en-US" sz="1100" i="1" u="sng">
              <a:solidFill>
                <a:schemeClr val="dk1"/>
              </a:solidFill>
              <a:latin typeface="Times New Roman" pitchFamily="18" charset="0"/>
              <a:ea typeface="+mn-ea"/>
              <a:cs typeface="Times New Roman" pitchFamily="18" charset="0"/>
            </a:rPr>
            <a:t> Glider Configuration </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a:solidFill>
                <a:schemeClr val="dk1"/>
              </a:solidFill>
              <a:latin typeface="Times New Roman" pitchFamily="18" charset="0"/>
              <a:ea typeface="+mn-ea"/>
              <a:cs typeface="Times New Roman" pitchFamily="18" charset="0"/>
            </a:rPr>
            <a:t>This describes parameters related to the overall mission of the glider. For example, the minimum &amp; maximum depth that the glider will attain, as well as the number of profiles performed before the glider surfaces.</a:t>
          </a:r>
        </a:p>
        <a:p>
          <a:pPr>
            <a:lnSpc>
              <a:spcPts val="1200"/>
            </a:lnSpc>
          </a:pPr>
          <a:r>
            <a:rPr lang="en-US" sz="1100">
              <a:solidFill>
                <a:schemeClr val="dk1"/>
              </a:solidFill>
              <a:latin typeface="Times New Roman" pitchFamily="18" charset="0"/>
              <a:ea typeface="+mn-ea"/>
              <a:cs typeface="Times New Roman" pitchFamily="18" charset="0"/>
            </a:rPr>
            <a:t>Two particular parameters that relate to the type of pump installed on the glider are the </a:t>
          </a:r>
          <a:r>
            <a:rPr lang="en-US" sz="1100" i="1">
              <a:solidFill>
                <a:schemeClr val="dk1"/>
              </a:solidFill>
              <a:latin typeface="Times New Roman" pitchFamily="18" charset="0"/>
              <a:ea typeface="+mn-ea"/>
              <a:cs typeface="Times New Roman" pitchFamily="18" charset="0"/>
            </a:rPr>
            <a:t>Maximum Profile Depth</a:t>
          </a:r>
          <a:r>
            <a:rPr lang="en-US" sz="1100">
              <a:solidFill>
                <a:schemeClr val="dk1"/>
              </a:solidFill>
              <a:latin typeface="Times New Roman" pitchFamily="18" charset="0"/>
              <a:ea typeface="+mn-ea"/>
              <a:cs typeface="Times New Roman" pitchFamily="18" charset="0"/>
            </a:rPr>
            <a:t> and the </a:t>
          </a:r>
          <a:r>
            <a:rPr lang="en-US" sz="1100" i="1">
              <a:solidFill>
                <a:schemeClr val="dk1"/>
              </a:solidFill>
              <a:latin typeface="Times New Roman" pitchFamily="18" charset="0"/>
              <a:ea typeface="+mn-ea"/>
              <a:cs typeface="Times New Roman" pitchFamily="18" charset="0"/>
            </a:rPr>
            <a:t>Pump Installed</a:t>
          </a:r>
          <a:r>
            <a:rPr lang="en-US" sz="1100">
              <a:solidFill>
                <a:schemeClr val="dk1"/>
              </a:solidFill>
              <a:latin typeface="Times New Roman" pitchFamily="18" charset="0"/>
              <a:ea typeface="+mn-ea"/>
              <a:cs typeface="Times New Roman" pitchFamily="18" charset="0"/>
            </a:rPr>
            <a:t>. For example, to use a pump designed for 200 meter, on a glider diving to a maximum profile depth of 200 meter, enter 200 in the areas labeled </a:t>
          </a:r>
          <a:r>
            <a:rPr lang="en-US" sz="1100" i="1">
              <a:solidFill>
                <a:schemeClr val="dk1"/>
              </a:solidFill>
              <a:latin typeface="Times New Roman" pitchFamily="18" charset="0"/>
              <a:ea typeface="+mn-ea"/>
              <a:cs typeface="Times New Roman" pitchFamily="18" charset="0"/>
            </a:rPr>
            <a:t>Maximum Profile Depth</a:t>
          </a:r>
          <a:r>
            <a:rPr lang="en-US" sz="1100">
              <a:solidFill>
                <a:schemeClr val="dk1"/>
              </a:solidFill>
              <a:latin typeface="Times New Roman" pitchFamily="18" charset="0"/>
              <a:ea typeface="+mn-ea"/>
              <a:cs typeface="Times New Roman" pitchFamily="18" charset="0"/>
            </a:rPr>
            <a:t> and </a:t>
          </a:r>
          <a:r>
            <a:rPr lang="en-US" sz="1100" i="1">
              <a:solidFill>
                <a:schemeClr val="dk1"/>
              </a:solidFill>
              <a:latin typeface="Times New Roman" pitchFamily="18" charset="0"/>
              <a:ea typeface="+mn-ea"/>
              <a:cs typeface="Times New Roman" pitchFamily="18" charset="0"/>
            </a:rPr>
            <a:t>Pump Installed. </a:t>
          </a:r>
          <a:r>
            <a:rPr lang="en-US" sz="1100">
              <a:solidFill>
                <a:schemeClr val="dk1"/>
              </a:solidFill>
              <a:latin typeface="Times New Roman" pitchFamily="18" charset="0"/>
              <a:ea typeface="+mn-ea"/>
              <a:cs typeface="Times New Roman" pitchFamily="18" charset="0"/>
            </a:rPr>
            <a:t>If the </a:t>
          </a:r>
          <a:r>
            <a:rPr lang="en-US" sz="1100" i="1">
              <a:solidFill>
                <a:schemeClr val="dk1"/>
              </a:solidFill>
              <a:latin typeface="Times New Roman" pitchFamily="18" charset="0"/>
              <a:ea typeface="+mn-ea"/>
              <a:cs typeface="Times New Roman" pitchFamily="18" charset="0"/>
            </a:rPr>
            <a:t>Maximum Profile Depth</a:t>
          </a:r>
          <a:r>
            <a:rPr lang="en-US" sz="1100">
              <a:solidFill>
                <a:schemeClr val="dk1"/>
              </a:solidFill>
              <a:latin typeface="Times New Roman" pitchFamily="18" charset="0"/>
              <a:ea typeface="+mn-ea"/>
              <a:cs typeface="Times New Roman" pitchFamily="18" charset="0"/>
            </a:rPr>
            <a:t> entry exceeds the </a:t>
          </a:r>
          <a:r>
            <a:rPr lang="en-US" sz="1100" i="1">
              <a:solidFill>
                <a:schemeClr val="dk1"/>
              </a:solidFill>
              <a:latin typeface="Times New Roman" pitchFamily="18" charset="0"/>
              <a:ea typeface="+mn-ea"/>
              <a:cs typeface="Times New Roman" pitchFamily="18" charset="0"/>
            </a:rPr>
            <a:t>Pump Installed </a:t>
          </a:r>
          <a:r>
            <a:rPr lang="en-US" sz="1100">
              <a:solidFill>
                <a:schemeClr val="dk1"/>
              </a:solidFill>
              <a:latin typeface="Times New Roman" pitchFamily="18" charset="0"/>
              <a:ea typeface="+mn-ea"/>
              <a:cs typeface="Times New Roman" pitchFamily="18" charset="0"/>
            </a:rPr>
            <a:t>depth, a warning will appear in the Mission Parameters panel (namely, Error! Profile Too Deep!) indicating that the type of pump is not applicable for the intended profile depth. However, any </a:t>
          </a:r>
          <a:r>
            <a:rPr lang="en-US" sz="1100" i="1">
              <a:solidFill>
                <a:schemeClr val="dk1"/>
              </a:solidFill>
              <a:latin typeface="Times New Roman" pitchFamily="18" charset="0"/>
              <a:ea typeface="+mn-ea"/>
              <a:cs typeface="Times New Roman" pitchFamily="18" charset="0"/>
            </a:rPr>
            <a:t>Maximum Profile Depth </a:t>
          </a:r>
          <a:r>
            <a:rPr lang="en-US" sz="1100">
              <a:solidFill>
                <a:schemeClr val="dk1"/>
              </a:solidFill>
              <a:latin typeface="Times New Roman" pitchFamily="18" charset="0"/>
              <a:ea typeface="+mn-ea"/>
              <a:cs typeface="Times New Roman" pitchFamily="18" charset="0"/>
            </a:rPr>
            <a:t>less than the </a:t>
          </a:r>
          <a:r>
            <a:rPr lang="en-US" sz="1100" i="1">
              <a:solidFill>
                <a:schemeClr val="dk1"/>
              </a:solidFill>
              <a:latin typeface="Times New Roman" pitchFamily="18" charset="0"/>
              <a:ea typeface="+mn-ea"/>
              <a:cs typeface="Times New Roman" pitchFamily="18" charset="0"/>
            </a:rPr>
            <a:t>Pump Installed </a:t>
          </a:r>
          <a:r>
            <a:rPr lang="en-US" sz="1100">
              <a:solidFill>
                <a:schemeClr val="dk1"/>
              </a:solidFill>
              <a:latin typeface="Times New Roman" pitchFamily="18" charset="0"/>
              <a:ea typeface="+mn-ea"/>
              <a:cs typeface="Times New Roman" pitchFamily="18" charset="0"/>
            </a:rPr>
            <a:t>depth will be accepted.</a:t>
          </a:r>
        </a:p>
        <a:p>
          <a:pPr>
            <a:lnSpc>
              <a:spcPts val="1200"/>
            </a:lnSpc>
          </a:pPr>
          <a:r>
            <a:rPr lang="en-US" sz="1100">
              <a:solidFill>
                <a:schemeClr val="dk1"/>
              </a:solidFill>
              <a:latin typeface="Times New Roman" pitchFamily="18" charset="0"/>
              <a:ea typeface="+mn-ea"/>
              <a:cs typeface="Times New Roman" pitchFamily="18" charset="0"/>
            </a:rPr>
            <a:t>Note that the </a:t>
          </a:r>
          <a:r>
            <a:rPr lang="en-US" sz="1100" i="1">
              <a:solidFill>
                <a:schemeClr val="dk1"/>
              </a:solidFill>
              <a:latin typeface="Times New Roman" pitchFamily="18" charset="0"/>
              <a:ea typeface="+mn-ea"/>
              <a:cs typeface="Times New Roman" pitchFamily="18" charset="0"/>
            </a:rPr>
            <a:t>Glider Configuration</a:t>
          </a:r>
          <a:r>
            <a:rPr lang="en-US" sz="1100">
              <a:solidFill>
                <a:schemeClr val="dk1"/>
              </a:solidFill>
              <a:latin typeface="Times New Roman" pitchFamily="18" charset="0"/>
              <a:ea typeface="+mn-ea"/>
              <a:cs typeface="Times New Roman" pitchFamily="18" charset="0"/>
            </a:rPr>
            <a:t> panel also allows other features such as the glider pinger, altimeter &amp; PTT to be enabled or disabled.</a:t>
          </a:r>
        </a:p>
        <a:p>
          <a:pPr>
            <a:lnSpc>
              <a:spcPts val="1200"/>
            </a:lnSpc>
          </a:pPr>
          <a:r>
            <a:rPr lang="en-US" sz="1100">
              <a:solidFill>
                <a:schemeClr val="dk1"/>
              </a:solidFill>
              <a:latin typeface="Times New Roman" pitchFamily="18" charset="0"/>
              <a:ea typeface="+mn-ea"/>
              <a:cs typeface="Times New Roman" pitchFamily="18" charset="0"/>
            </a:rPr>
            <a:t> </a:t>
          </a:r>
        </a:p>
        <a:p>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Battery Configuration</a:t>
          </a:r>
          <a:r>
            <a:rPr lang="en-US" sz="1100" u="sng">
              <a:solidFill>
                <a:schemeClr val="dk1"/>
              </a:solidFill>
              <a:latin typeface="Times New Roman" pitchFamily="18" charset="0"/>
              <a:ea typeface="+mn-ea"/>
              <a:cs typeface="Times New Roman" pitchFamily="18" charset="0"/>
            </a:rPr>
            <a:t> and </a:t>
          </a:r>
          <a:r>
            <a:rPr lang="en-US" sz="1100" i="1" u="sng">
              <a:solidFill>
                <a:schemeClr val="dk1"/>
              </a:solidFill>
              <a:latin typeface="Times New Roman" pitchFamily="18" charset="0"/>
              <a:ea typeface="+mn-ea"/>
              <a:cs typeface="Times New Roman" pitchFamily="18" charset="0"/>
            </a:rPr>
            <a:t>Useage</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r>
            <a:rPr lang="en-US" sz="1100">
              <a:solidFill>
                <a:schemeClr val="dk1"/>
              </a:solidFill>
              <a:latin typeface="Times New Roman" pitchFamily="18" charset="0"/>
              <a:ea typeface="+mn-ea"/>
              <a:cs typeface="Times New Roman" pitchFamily="18" charset="0"/>
            </a:rPr>
            <a:t> </a:t>
          </a:r>
        </a:p>
        <a:p>
          <a:r>
            <a:rPr lang="en-US" sz="1100">
              <a:solidFill>
                <a:schemeClr val="dk1"/>
              </a:solidFill>
              <a:latin typeface="Times New Roman" pitchFamily="18" charset="0"/>
              <a:ea typeface="+mn-ea"/>
              <a:cs typeface="Times New Roman" pitchFamily="18" charset="0"/>
            </a:rPr>
            <a:t>This describes the type and number of batteries used on the glider. The Useage panel also allows an estimate for the total remaining battery energy to be entered. Note that reducing the total remaining energy will reduce the calculated remaining duration &amp; distance for the glider, displayed in the Calculated Parameters panel.</a:t>
          </a: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Science Configuration</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a:solidFill>
                <a:schemeClr val="dk1"/>
              </a:solidFill>
              <a:latin typeface="Times New Roman" pitchFamily="18" charset="0"/>
              <a:ea typeface="+mn-ea"/>
              <a:cs typeface="Times New Roman" pitchFamily="18" charset="0"/>
            </a:rPr>
            <a:t>This describes whether pre-configured glider sensors are downcast or upcast, as well as which sensors are currently enabled. Furthermore, several sensors (such as the FLBBDC &amp; Biospherical QSP-2150) can be partially enabled, which results in scaling of their energy use and data generation.</a:t>
          </a: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Data Node Parameters</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a:solidFill>
                <a:schemeClr val="dk1"/>
              </a:solidFill>
              <a:latin typeface="Times New Roman" pitchFamily="18" charset="0"/>
              <a:ea typeface="+mn-ea"/>
              <a:cs typeface="Times New Roman" pitchFamily="18" charset="0"/>
            </a:rPr>
            <a:t>This describes the glider communication with data nodes. Data can be received from each node via the gliders acoustic modem, although this also requires data (instructions) being transmitted to each node from the glider. Since data interactions with each node can vary, the Data Node panel is used to specify the average number of bytes received by the glider from each node, the average number of bytes transmitted to each node, and the average time taken by the glider between visiting nodes. Note that data received from nodes is later transmitted by the glider, via satellite, once the glider is at the surface.</a:t>
          </a: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Additional Sensors</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r>
            <a:rPr lang="en-US" sz="1100">
              <a:solidFill>
                <a:schemeClr val="dk1"/>
              </a:solidFill>
              <a:latin typeface="Times New Roman" pitchFamily="18" charset="0"/>
              <a:ea typeface="+mn-ea"/>
              <a:cs typeface="Times New Roman" pitchFamily="18" charset="0"/>
            </a:rPr>
            <a:t>This panel allows the impact of additional sensors to be examined. Both power requirement, and data generation is considered. For example, the addition of an Optode (with an average useage voltage of 5V, and current of 0.02A) will reduce the calculated duration &amp; distance achieved by the glider. Also, if the Optode records 40 bytes of data (to be transmitted) during each measurement, and takes one measurement every second, then the calculated data transmission for the glider will be increased accordingly. The Figure below shows the Additional Sensors panel with this data entered.</a:t>
          </a:r>
        </a:p>
        <a:p>
          <a:pPr>
            <a:lnSpc>
              <a:spcPts val="1200"/>
            </a:lnSpc>
          </a:pPr>
          <a:endParaRPr lang="en-US" sz="1100">
            <a:solidFill>
              <a:schemeClr val="dk1"/>
            </a:solidFill>
            <a:latin typeface="Times New Roman" pitchFamily="18" charset="0"/>
            <a:ea typeface="+mn-ea"/>
            <a:cs typeface="Times New Roman" pitchFamily="18" charset="0"/>
          </a:endParaRPr>
        </a:p>
        <a:p>
          <a:pPr>
            <a:lnSpc>
              <a:spcPts val="1200"/>
            </a:lnSpc>
          </a:pP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pPr>
            <a:lnSpc>
              <a:spcPts val="1200"/>
            </a:lnSpc>
          </a:pPr>
          <a:endParaRPr lang="en-US" sz="1100" u="sng">
            <a:solidFill>
              <a:schemeClr val="dk1"/>
            </a:solidFill>
            <a:latin typeface="Times New Roman" pitchFamily="18" charset="0"/>
            <a:ea typeface="+mn-ea"/>
            <a:cs typeface="Times New Roman" pitchFamily="18" charset="0"/>
          </a:endParaRPr>
        </a:p>
        <a:p>
          <a:endParaRPr lang="en-US" sz="1100" u="sng">
            <a:solidFill>
              <a:schemeClr val="dk1"/>
            </a:solidFill>
            <a:latin typeface="Times New Roman" pitchFamily="18" charset="0"/>
            <a:ea typeface="+mn-ea"/>
            <a:cs typeface="Times New Roman" pitchFamily="18" charset="0"/>
          </a:endParaRPr>
        </a:p>
        <a:p>
          <a:pPr>
            <a:lnSpc>
              <a:spcPts val="1200"/>
            </a:lnSpc>
          </a:pPr>
          <a:endParaRPr lang="en-US" sz="1100" u="sng">
            <a:solidFill>
              <a:schemeClr val="dk1"/>
            </a:solidFill>
            <a:latin typeface="Times New Roman" pitchFamily="18" charset="0"/>
            <a:ea typeface="+mn-ea"/>
            <a:cs typeface="Times New Roman" pitchFamily="18" charset="0"/>
          </a:endParaRPr>
        </a:p>
        <a:p>
          <a:pPr>
            <a:lnSpc>
              <a:spcPts val="1200"/>
            </a:lnSpc>
          </a:pPr>
          <a:endParaRPr lang="en-US" sz="1100" u="sng">
            <a:solidFill>
              <a:schemeClr val="dk1"/>
            </a:solidFill>
            <a:latin typeface="Times New Roman" pitchFamily="18" charset="0"/>
            <a:ea typeface="+mn-ea"/>
            <a:cs typeface="Times New Roman" pitchFamily="18" charset="0"/>
          </a:endParaRPr>
        </a:p>
        <a:p>
          <a:endParaRPr lang="en-US" sz="1100" u="sng">
            <a:solidFill>
              <a:schemeClr val="dk1"/>
            </a:solidFill>
            <a:latin typeface="Times New Roman" pitchFamily="18" charset="0"/>
            <a:ea typeface="+mn-ea"/>
            <a:cs typeface="Times New Roman" pitchFamily="18" charset="0"/>
          </a:endParaRPr>
        </a:p>
        <a:p>
          <a:endParaRPr lang="en-US" sz="1100" u="sng">
            <a:solidFill>
              <a:schemeClr val="dk1"/>
            </a:solidFill>
            <a:latin typeface="Times New Roman" pitchFamily="18" charset="0"/>
            <a:ea typeface="+mn-ea"/>
            <a:cs typeface="Times New Roman" pitchFamily="18" charset="0"/>
          </a:endParaRPr>
        </a:p>
        <a:p>
          <a:endParaRPr lang="en-US" sz="1100" u="sng">
            <a:solidFill>
              <a:schemeClr val="dk1"/>
            </a:solidFill>
            <a:latin typeface="Times New Roman" pitchFamily="18" charset="0"/>
            <a:ea typeface="+mn-ea"/>
            <a:cs typeface="Times New Roman" pitchFamily="18" charset="0"/>
          </a:endParaRPr>
        </a:p>
        <a:p>
          <a:pPr>
            <a:lnSpc>
              <a:spcPts val="1200"/>
            </a:lnSpc>
          </a:pPr>
          <a:endParaRPr lang="en-US" sz="1100" u="sng">
            <a:solidFill>
              <a:schemeClr val="dk1"/>
            </a:solidFill>
            <a:latin typeface="Times New Roman" pitchFamily="18" charset="0"/>
            <a:ea typeface="+mn-ea"/>
            <a:cs typeface="Times New Roman" pitchFamily="18" charset="0"/>
          </a:endParaRPr>
        </a:p>
        <a:p>
          <a:pPr>
            <a:lnSpc>
              <a:spcPts val="1200"/>
            </a:lnSpc>
          </a:pPr>
          <a:r>
            <a:rPr lang="en-US" sz="1100" u="sng">
              <a:solidFill>
                <a:schemeClr val="dk1"/>
              </a:solidFill>
              <a:latin typeface="Times New Roman" pitchFamily="18" charset="0"/>
              <a:ea typeface="+mn-ea"/>
              <a:cs typeface="Times New Roman" pitchFamily="18" charset="0"/>
            </a:rPr>
            <a:t>The </a:t>
          </a:r>
          <a:r>
            <a:rPr lang="en-US" sz="1100" i="1" u="sng">
              <a:solidFill>
                <a:schemeClr val="dk1"/>
              </a:solidFill>
              <a:latin typeface="Times New Roman" pitchFamily="18" charset="0"/>
              <a:ea typeface="+mn-ea"/>
              <a:cs typeface="Times New Roman" pitchFamily="18" charset="0"/>
            </a:rPr>
            <a:t>Calculated Parameters</a:t>
          </a:r>
          <a:r>
            <a:rPr lang="en-US" sz="1100" u="sng">
              <a:solidFill>
                <a:schemeClr val="dk1"/>
              </a:solidFill>
              <a:latin typeface="Times New Roman" pitchFamily="18" charset="0"/>
              <a:ea typeface="+mn-ea"/>
              <a:cs typeface="Times New Roman" pitchFamily="18" charset="0"/>
            </a:rPr>
            <a:t> and </a:t>
          </a:r>
          <a:r>
            <a:rPr lang="en-US" sz="1100" i="1" u="sng">
              <a:solidFill>
                <a:schemeClr val="dk1"/>
              </a:solidFill>
              <a:latin typeface="Times New Roman" pitchFamily="18" charset="0"/>
              <a:ea typeface="+mn-ea"/>
              <a:cs typeface="Times New Roman" pitchFamily="18" charset="0"/>
            </a:rPr>
            <a:t>Data Transmission</a:t>
          </a:r>
          <a:r>
            <a:rPr lang="en-US" sz="1100" u="sng">
              <a:solidFill>
                <a:schemeClr val="dk1"/>
              </a:solidFill>
              <a:latin typeface="Times New Roman" pitchFamily="18" charset="0"/>
              <a:ea typeface="+mn-ea"/>
              <a:cs typeface="Times New Roman" pitchFamily="18" charset="0"/>
            </a:rPr>
            <a:t> panel:</a:t>
          </a:r>
          <a:endParaRPr lang="en-US" sz="1100">
            <a:solidFill>
              <a:schemeClr val="dk1"/>
            </a:solidFill>
            <a:latin typeface="Times New Roman" pitchFamily="18" charset="0"/>
            <a:ea typeface="+mn-ea"/>
            <a:cs typeface="Times New Roman" pitchFamily="18" charset="0"/>
          </a:endParaRPr>
        </a:p>
        <a:p>
          <a:pPr>
            <a:lnSpc>
              <a:spcPts val="1200"/>
            </a:lnSpc>
          </a:pPr>
          <a:r>
            <a:rPr lang="en-US" sz="1100">
              <a:solidFill>
                <a:schemeClr val="dk1"/>
              </a:solidFill>
              <a:latin typeface="Times New Roman" pitchFamily="18" charset="0"/>
              <a:ea typeface="+mn-ea"/>
              <a:cs typeface="Times New Roman" pitchFamily="18" charset="0"/>
            </a:rPr>
            <a:t> </a:t>
          </a:r>
        </a:p>
        <a:p>
          <a:r>
            <a:rPr lang="en-US" sz="1100">
              <a:solidFill>
                <a:schemeClr val="dk1"/>
              </a:solidFill>
              <a:latin typeface="Times New Roman" pitchFamily="18" charset="0"/>
              <a:ea typeface="+mn-ea"/>
              <a:cs typeface="Times New Roman" pitchFamily="18" charset="0"/>
            </a:rPr>
            <a:t>These panels display calculated results only. The first panel describes mechanical measurements such as trajectory angles, overall distances &amp; durations. The second panel describes data transmission quantities from the glider, both in total, and averaged by day (whether or not the glider actually transmits on a daily basis).</a:t>
          </a:r>
        </a:p>
        <a:p>
          <a:pPr>
            <a:lnSpc>
              <a:spcPts val="1200"/>
            </a:lnSpc>
          </a:pPr>
          <a:endParaRPr lang="en-US" sz="1100">
            <a:latin typeface="Times New Roman" pitchFamily="18" charset="0"/>
            <a:cs typeface="Times New Roman" pitchFamily="18" charset="0"/>
          </a:endParaRPr>
        </a:p>
      </xdr:txBody>
    </xdr:sp>
    <xdr:clientData/>
  </xdr:twoCellAnchor>
  <xdr:twoCellAnchor>
    <xdr:from>
      <xdr:col>7</xdr:col>
      <xdr:colOff>465455</xdr:colOff>
      <xdr:row>0</xdr:row>
      <xdr:rowOff>39371</xdr:rowOff>
    </xdr:from>
    <xdr:to>
      <xdr:col>12</xdr:col>
      <xdr:colOff>2211</xdr:colOff>
      <xdr:row>0</xdr:row>
      <xdr:rowOff>1034508</xdr:rowOff>
    </xdr:to>
    <xdr:sp macro="" textlink="">
      <xdr:nvSpPr>
        <xdr:cNvPr id="2" name="TextBox 1">
          <a:extLst>
            <a:ext uri="{FF2B5EF4-FFF2-40B4-BE49-F238E27FC236}">
              <a16:creationId xmlns:a16="http://schemas.microsoft.com/office/drawing/2014/main" id="{DFBEAB40-CE91-971B-BA85-78F9A619E965}"/>
            </a:ext>
          </a:extLst>
        </xdr:cNvPr>
        <xdr:cNvSpPr txBox="1"/>
      </xdr:nvSpPr>
      <xdr:spPr>
        <a:xfrm>
          <a:off x="4478655" y="26671"/>
          <a:ext cx="2362447" cy="69723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r"/>
          <a:r>
            <a:rPr lang="en-US" sz="1400" b="1">
              <a:latin typeface="Arial" pitchFamily="34" charset="0"/>
              <a:cs typeface="Arial" pitchFamily="34" charset="0"/>
            </a:rPr>
            <a:t>Document #:</a:t>
          </a:r>
          <a:r>
            <a:rPr lang="en-US" sz="1400" b="1" baseline="0">
              <a:latin typeface="Arial" pitchFamily="34" charset="0"/>
              <a:cs typeface="Arial" pitchFamily="34" charset="0"/>
            </a:rPr>
            <a:t> 4347</a:t>
          </a:r>
        </a:p>
        <a:p>
          <a:pPr algn="r"/>
          <a:r>
            <a:rPr lang="en-US" sz="1200" b="0"/>
            <a:t>Rev.</a:t>
          </a:r>
          <a:r>
            <a:rPr lang="en-US" sz="1200" b="0" baseline="0"/>
            <a:t> C</a:t>
          </a:r>
        </a:p>
        <a:p>
          <a:pPr algn="r"/>
          <a:r>
            <a:rPr lang="en-US" sz="1200" b="0" baseline="0"/>
            <a:t>Date: 10/19/2012</a:t>
          </a:r>
        </a:p>
      </xdr:txBody>
    </xdr:sp>
    <xdr:clientData/>
  </xdr:twoCellAnchor>
  <mc:AlternateContent xmlns:mc="http://schemas.openxmlformats.org/markup-compatibility/2006">
    <mc:Choice xmlns:a14="http://schemas.microsoft.com/office/drawing/2010/main" Requires="a14">
      <xdr:twoCellAnchor editAs="oneCell">
        <xdr:from>
          <xdr:col>0</xdr:col>
          <xdr:colOff>165100</xdr:colOff>
          <xdr:row>53</xdr:row>
          <xdr:rowOff>95250</xdr:rowOff>
        </xdr:from>
        <xdr:to>
          <xdr:col>12</xdr:col>
          <xdr:colOff>0</xdr:colOff>
          <xdr:row>62</xdr:row>
          <xdr:rowOff>107950</xdr:rowOff>
        </xdr:to>
        <xdr:sp macro="" textlink="">
          <xdr:nvSpPr>
            <xdr:cNvPr id="1135" name="Object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8</xdr:col>
      <xdr:colOff>473710</xdr:colOff>
      <xdr:row>0</xdr:row>
      <xdr:rowOff>15876</xdr:rowOff>
    </xdr:from>
    <xdr:to>
      <xdr:col>12</xdr:col>
      <xdr:colOff>680</xdr:colOff>
      <xdr:row>1</xdr:row>
      <xdr:rowOff>337</xdr:rowOff>
    </xdr:to>
    <xdr:sp macro="" textlink="">
      <xdr:nvSpPr>
        <xdr:cNvPr id="6" name="TextBox 5">
          <a:extLst>
            <a:ext uri="{FF2B5EF4-FFF2-40B4-BE49-F238E27FC236}">
              <a16:creationId xmlns:a16="http://schemas.microsoft.com/office/drawing/2014/main" id="{34C50163-11E5-8926-B69A-BB29958483C6}"/>
            </a:ext>
          </a:extLst>
        </xdr:cNvPr>
        <xdr:cNvSpPr txBox="1"/>
      </xdr:nvSpPr>
      <xdr:spPr>
        <a:xfrm>
          <a:off x="4808220" y="9526"/>
          <a:ext cx="2196729" cy="69151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r"/>
          <a:r>
            <a:rPr lang="en-US" sz="1400" b="1">
              <a:latin typeface="Arial" pitchFamily="34" charset="0"/>
              <a:cs typeface="Arial" pitchFamily="34" charset="0"/>
            </a:rPr>
            <a:t>Revision #:</a:t>
          </a:r>
          <a:r>
            <a:rPr lang="en-US" sz="1400" b="1" baseline="0">
              <a:latin typeface="Arial" pitchFamily="34" charset="0"/>
              <a:cs typeface="Arial" pitchFamily="34" charset="0"/>
            </a:rPr>
            <a:t> 1</a:t>
          </a:r>
        </a:p>
        <a:p>
          <a:pPr algn="r"/>
          <a:r>
            <a:rPr lang="en-US" sz="1200" b="0" baseline="0"/>
            <a:t>Date: 03/01/2025</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6CDD-20F8-4A7F-81ED-22E7F8551988}">
  <sheetPr codeName="Sheet2"/>
  <dimension ref="A1:E22"/>
  <sheetViews>
    <sheetView workbookViewId="0">
      <selection activeCell="A21" sqref="A21"/>
    </sheetView>
  </sheetViews>
  <sheetFormatPr defaultRowHeight="12.5" x14ac:dyDescent="0.25"/>
  <cols>
    <col min="1" max="1" width="9.1796875" style="2" customWidth="1"/>
    <col min="2" max="3" width="12" customWidth="1"/>
    <col min="4" max="4" width="15.1796875" customWidth="1"/>
    <col min="5" max="5" width="74.54296875" style="154" customWidth="1"/>
  </cols>
  <sheetData>
    <row r="1" spans="1:5" x14ac:dyDescent="0.25">
      <c r="B1" t="s">
        <v>0</v>
      </c>
    </row>
    <row r="3" spans="1:5" x14ac:dyDescent="0.25">
      <c r="A3" s="2" t="s">
        <v>1</v>
      </c>
      <c r="B3" s="2" t="s">
        <v>2</v>
      </c>
      <c r="C3" s="2" t="s">
        <v>3</v>
      </c>
      <c r="D3" s="2" t="s">
        <v>4</v>
      </c>
      <c r="E3" s="155" t="s">
        <v>5</v>
      </c>
    </row>
    <row r="4" spans="1:5" x14ac:dyDescent="0.25">
      <c r="B4" s="12">
        <v>38398</v>
      </c>
      <c r="C4" s="12"/>
      <c r="D4" s="2" t="s">
        <v>6</v>
      </c>
      <c r="E4" s="154" t="s">
        <v>7</v>
      </c>
    </row>
    <row r="5" spans="1:5" ht="25" x14ac:dyDescent="0.25">
      <c r="B5" s="12">
        <v>38517</v>
      </c>
      <c r="C5" s="12"/>
      <c r="D5" s="2" t="s">
        <v>6</v>
      </c>
      <c r="E5" s="154" t="s">
        <v>8</v>
      </c>
    </row>
    <row r="6" spans="1:5" x14ac:dyDescent="0.25">
      <c r="B6" s="12">
        <v>38518</v>
      </c>
      <c r="C6" s="12"/>
      <c r="D6" s="2" t="s">
        <v>6</v>
      </c>
      <c r="E6" s="154" t="s">
        <v>9</v>
      </c>
    </row>
    <row r="7" spans="1:5" x14ac:dyDescent="0.25">
      <c r="B7" s="12">
        <v>38617</v>
      </c>
      <c r="C7" s="12"/>
      <c r="D7" s="2" t="s">
        <v>6</v>
      </c>
      <c r="E7" s="154" t="s">
        <v>10</v>
      </c>
    </row>
    <row r="8" spans="1:5" ht="25" x14ac:dyDescent="0.25">
      <c r="B8" s="12">
        <v>38963</v>
      </c>
      <c r="C8" s="12"/>
      <c r="D8" s="2" t="s">
        <v>6</v>
      </c>
      <c r="E8" s="154" t="s">
        <v>11</v>
      </c>
    </row>
    <row r="9" spans="1:5" x14ac:dyDescent="0.25">
      <c r="B9" s="12">
        <v>39023</v>
      </c>
      <c r="C9" s="12"/>
      <c r="D9" s="2" t="s">
        <v>6</v>
      </c>
      <c r="E9" s="154" t="s">
        <v>12</v>
      </c>
    </row>
    <row r="10" spans="1:5" x14ac:dyDescent="0.25">
      <c r="B10" s="12">
        <v>39490</v>
      </c>
      <c r="C10" s="12"/>
      <c r="D10" s="2" t="s">
        <v>6</v>
      </c>
      <c r="E10" s="154" t="s">
        <v>13</v>
      </c>
    </row>
    <row r="11" spans="1:5" x14ac:dyDescent="0.25">
      <c r="B11" s="12">
        <v>39591</v>
      </c>
      <c r="C11" s="12"/>
      <c r="D11" s="2" t="s">
        <v>6</v>
      </c>
      <c r="E11" s="154" t="s">
        <v>14</v>
      </c>
    </row>
    <row r="12" spans="1:5" x14ac:dyDescent="0.25">
      <c r="B12" s="12">
        <v>39960</v>
      </c>
      <c r="C12" s="12"/>
      <c r="D12" s="162" t="s">
        <v>15</v>
      </c>
      <c r="E12" s="161" t="s">
        <v>16</v>
      </c>
    </row>
    <row r="13" spans="1:5" x14ac:dyDescent="0.25">
      <c r="B13" s="12">
        <v>39961</v>
      </c>
      <c r="C13" s="12"/>
      <c r="D13" s="162" t="s">
        <v>15</v>
      </c>
      <c r="E13" s="161" t="s">
        <v>17</v>
      </c>
    </row>
    <row r="14" spans="1:5" x14ac:dyDescent="0.25">
      <c r="B14" s="12">
        <v>40695</v>
      </c>
      <c r="C14" s="12"/>
      <c r="D14" s="2" t="s">
        <v>18</v>
      </c>
      <c r="E14" s="154" t="s">
        <v>19</v>
      </c>
    </row>
    <row r="15" spans="1:5" x14ac:dyDescent="0.25">
      <c r="B15" s="232">
        <v>40708</v>
      </c>
      <c r="C15" s="232"/>
      <c r="D15" s="162" t="s">
        <v>18</v>
      </c>
      <c r="E15" s="161" t="s">
        <v>20</v>
      </c>
    </row>
    <row r="16" spans="1:5" x14ac:dyDescent="0.25">
      <c r="B16" s="12">
        <v>40806</v>
      </c>
      <c r="C16" s="12"/>
      <c r="D16" s="162" t="s">
        <v>18</v>
      </c>
      <c r="E16" s="161" t="s">
        <v>21</v>
      </c>
    </row>
    <row r="17" spans="1:5" x14ac:dyDescent="0.25">
      <c r="A17" s="2" t="s">
        <v>22</v>
      </c>
      <c r="B17" s="12">
        <v>40807</v>
      </c>
      <c r="C17" s="12" t="s">
        <v>23</v>
      </c>
      <c r="D17" s="2" t="s">
        <v>24</v>
      </c>
      <c r="E17" s="154" t="s">
        <v>25</v>
      </c>
    </row>
    <row r="18" spans="1:5" x14ac:dyDescent="0.25">
      <c r="A18" s="2">
        <v>4</v>
      </c>
      <c r="B18" s="12">
        <v>40809</v>
      </c>
      <c r="C18" s="12"/>
      <c r="D18" s="162" t="s">
        <v>24</v>
      </c>
      <c r="E18" s="161" t="s">
        <v>26</v>
      </c>
    </row>
    <row r="19" spans="1:5" x14ac:dyDescent="0.25">
      <c r="A19" s="2" t="s">
        <v>27</v>
      </c>
      <c r="B19" s="12">
        <v>40961</v>
      </c>
      <c r="C19" s="2"/>
      <c r="D19" s="162" t="s">
        <v>24</v>
      </c>
      <c r="E19" s="154" t="s">
        <v>28</v>
      </c>
    </row>
    <row r="20" spans="1:5" x14ac:dyDescent="0.25">
      <c r="A20" s="2" t="s">
        <v>29</v>
      </c>
      <c r="B20" s="12">
        <v>40973</v>
      </c>
      <c r="C20" s="2"/>
      <c r="D20" s="2" t="s">
        <v>24</v>
      </c>
      <c r="E20" s="154" t="s">
        <v>30</v>
      </c>
    </row>
    <row r="21" spans="1:5" x14ac:dyDescent="0.25">
      <c r="A21" s="162" t="s">
        <v>31</v>
      </c>
      <c r="B21" s="12">
        <v>41201</v>
      </c>
      <c r="C21" s="2"/>
      <c r="D21" s="162" t="s">
        <v>24</v>
      </c>
      <c r="E21" s="161" t="s">
        <v>32</v>
      </c>
    </row>
    <row r="22" spans="1:5" x14ac:dyDescent="0.25">
      <c r="A22" s="162"/>
      <c r="B22" s="12"/>
      <c r="C22" s="2"/>
      <c r="D22" s="162"/>
      <c r="E22" s="161"/>
    </row>
  </sheetData>
  <sheetProtection selectLockedCells="1"/>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0F11-4538-4B0B-BC12-31949EA26F05}">
  <sheetPr codeName="Sheet3"/>
  <dimension ref="A1:A2"/>
  <sheetViews>
    <sheetView topLeftCell="A13" zoomScaleNormal="100" workbookViewId="0">
      <selection activeCell="N10" sqref="N10"/>
    </sheetView>
  </sheetViews>
  <sheetFormatPr defaultRowHeight="12.5" x14ac:dyDescent="0.25"/>
  <cols>
    <col min="7" max="9" width="7.453125" customWidth="1"/>
    <col min="11" max="11" width="6.54296875" customWidth="1"/>
  </cols>
  <sheetData>
    <row r="1" spans="1:1" ht="81.75" customHeight="1" x14ac:dyDescent="0.25">
      <c r="A1" s="2"/>
    </row>
    <row r="2" spans="1:1" ht="12.75" customHeight="1" x14ac:dyDescent="0.25"/>
  </sheetData>
  <pageMargins left="0.45" right="0.2" top="0.5" bottom="0.25" header="0" footer="0"/>
  <pageSetup orientation="portrait" r:id="rId1"/>
  <drawing r:id="rId2"/>
  <legacyDrawing r:id="rId3"/>
  <oleObjects>
    <mc:AlternateContent xmlns:mc="http://schemas.openxmlformats.org/markup-compatibility/2006">
      <mc:Choice Requires="x14">
        <oleObject progId="Word.Document.12" shapeId="1135" r:id="rId4">
          <objectPr defaultSize="0" autoPict="0" r:id="rId5">
            <anchor moveWithCells="1">
              <from>
                <xdr:col>0</xdr:col>
                <xdr:colOff>165100</xdr:colOff>
                <xdr:row>53</xdr:row>
                <xdr:rowOff>95250</xdr:rowOff>
              </from>
              <to>
                <xdr:col>12</xdr:col>
                <xdr:colOff>0</xdr:colOff>
                <xdr:row>62</xdr:row>
                <xdr:rowOff>107950</xdr:rowOff>
              </to>
            </anchor>
          </objectPr>
        </oleObject>
      </mc:Choice>
      <mc:Fallback>
        <oleObject progId="Word.Document.12" shapeId="113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7E01-89F8-44C8-867B-100108196873}">
  <sheetPr codeName="Sheet1"/>
  <dimension ref="B1:N54"/>
  <sheetViews>
    <sheetView showGridLines="0" tabSelected="1" zoomScaleNormal="100" workbookViewId="0">
      <selection activeCell="D57" sqref="D57"/>
    </sheetView>
  </sheetViews>
  <sheetFormatPr defaultRowHeight="12.5" x14ac:dyDescent="0.25"/>
  <cols>
    <col min="1" max="2" width="1.54296875" customWidth="1"/>
    <col min="3" max="3" width="19.453125" customWidth="1"/>
    <col min="4" max="4" width="24.453125" customWidth="1"/>
    <col min="5" max="5" width="26.453125" customWidth="1"/>
    <col min="6" max="6" width="9.453125" bestFit="1" customWidth="1"/>
    <col min="7" max="7" width="1.54296875" customWidth="1"/>
    <col min="8" max="10" width="12.54296875" customWidth="1"/>
    <col min="11" max="11" width="9.81640625" customWidth="1"/>
    <col min="12" max="13" width="1.54296875" customWidth="1"/>
    <col min="15" max="15" width="8.81640625" customWidth="1"/>
  </cols>
  <sheetData>
    <row r="1" spans="2:14" ht="74.25" customHeight="1" thickBot="1" x14ac:dyDescent="0.3">
      <c r="C1" s="272"/>
    </row>
    <row r="2" spans="2:14" ht="6" customHeight="1" x14ac:dyDescent="0.25">
      <c r="B2" s="130"/>
      <c r="C2" s="131"/>
      <c r="D2" s="131"/>
      <c r="E2" s="131"/>
      <c r="F2" s="131"/>
      <c r="G2" s="131"/>
      <c r="H2" s="131"/>
      <c r="I2" s="131"/>
      <c r="J2" s="131"/>
      <c r="K2" s="131"/>
      <c r="L2" s="132"/>
    </row>
    <row r="3" spans="2:14" ht="17.5" x14ac:dyDescent="0.35">
      <c r="B3" s="133"/>
      <c r="C3" s="134" t="s">
        <v>33</v>
      </c>
      <c r="H3" s="26"/>
      <c r="L3" s="135"/>
    </row>
    <row r="4" spans="2:14" ht="6" customHeight="1" x14ac:dyDescent="0.25">
      <c r="B4" s="133"/>
      <c r="L4" s="135"/>
    </row>
    <row r="5" spans="2:14" s="113" customFormat="1" ht="20.149999999999999" customHeight="1" x14ac:dyDescent="0.25">
      <c r="B5" s="136"/>
      <c r="C5" s="109" t="s">
        <v>34</v>
      </c>
      <c r="D5" s="110"/>
      <c r="E5" s="111"/>
      <c r="F5" s="112" t="str">
        <f>IF(F6&gt;F17,"Error! Profile Too Deep!","")</f>
        <v/>
      </c>
      <c r="H5" s="223" t="s">
        <v>35</v>
      </c>
      <c r="I5" s="224"/>
      <c r="J5" s="224"/>
      <c r="K5" s="225"/>
      <c r="L5" s="137"/>
    </row>
    <row r="6" spans="2:14" x14ac:dyDescent="0.25">
      <c r="B6" s="133"/>
      <c r="C6" s="13"/>
      <c r="D6" s="2"/>
      <c r="E6" s="11" t="s">
        <v>36</v>
      </c>
      <c r="F6" s="142">
        <v>200</v>
      </c>
      <c r="H6" s="117"/>
      <c r="I6" s="118"/>
      <c r="J6" s="119" t="s">
        <v>37</v>
      </c>
      <c r="K6" s="124">
        <f>ATAN(F9/F8)*180/PI()</f>
        <v>21.370622269343183</v>
      </c>
      <c r="L6" s="135"/>
    </row>
    <row r="7" spans="2:14" x14ac:dyDescent="0.25">
      <c r="B7" s="133"/>
      <c r="C7" s="13"/>
      <c r="E7" s="11" t="s">
        <v>38</v>
      </c>
      <c r="F7" s="142">
        <v>1</v>
      </c>
      <c r="H7" s="117"/>
      <c r="I7" s="118"/>
      <c r="J7" s="119" t="s">
        <v>39</v>
      </c>
      <c r="K7" s="124">
        <f>(F6-F7)/F9*2/60</f>
        <v>73.703703703703709</v>
      </c>
      <c r="L7" s="135"/>
    </row>
    <row r="8" spans="2:14" x14ac:dyDescent="0.25">
      <c r="B8" s="133"/>
      <c r="C8" s="13"/>
      <c r="D8" s="2"/>
      <c r="E8" s="11" t="s">
        <v>40</v>
      </c>
      <c r="F8" s="142">
        <v>0.23</v>
      </c>
      <c r="H8" s="117"/>
      <c r="I8" s="120"/>
      <c r="J8" s="119" t="s">
        <v>41</v>
      </c>
      <c r="K8" s="125">
        <f>F8*K7*60</f>
        <v>1017.1111111111112</v>
      </c>
      <c r="L8" s="135"/>
    </row>
    <row r="9" spans="2:14" x14ac:dyDescent="0.25">
      <c r="B9" s="133"/>
      <c r="C9" s="13"/>
      <c r="D9" s="2"/>
      <c r="E9" s="11" t="s">
        <v>42</v>
      </c>
      <c r="F9" s="142">
        <v>0.09</v>
      </c>
      <c r="H9" s="117"/>
      <c r="I9" s="120"/>
      <c r="J9" s="119" t="s">
        <v>43</v>
      </c>
      <c r="K9" s="124">
        <f>IF(F11="n",F12,IF(F11="t",F12/K7,F12/K8))</f>
        <v>6</v>
      </c>
      <c r="L9" s="135"/>
    </row>
    <row r="10" spans="2:14" x14ac:dyDescent="0.25">
      <c r="B10" s="133"/>
      <c r="C10" s="21" t="s">
        <v>44</v>
      </c>
      <c r="D10" s="2"/>
      <c r="E10" s="11"/>
      <c r="F10" s="142"/>
      <c r="H10" s="121"/>
      <c r="I10" s="122"/>
      <c r="J10" s="123" t="s">
        <v>45</v>
      </c>
      <c r="K10" s="126">
        <f>IF(F11="n",F12*K7+2*F7/F9/60,IF(F11="t",F12,F12/F8/60))</f>
        <v>442.59259259259267</v>
      </c>
      <c r="L10" s="135"/>
    </row>
    <row r="11" spans="2:14" x14ac:dyDescent="0.25">
      <c r="B11" s="133"/>
      <c r="C11" s="47"/>
      <c r="D11" s="2"/>
      <c r="E11" s="11" t="s">
        <v>46</v>
      </c>
      <c r="F11" s="142" t="s">
        <v>47</v>
      </c>
      <c r="H11" s="121"/>
      <c r="I11" s="122"/>
      <c r="J11" s="123" t="s">
        <v>48</v>
      </c>
      <c r="K11" s="127">
        <f>K10*F8/1000*60</f>
        <v>6.1077777777777786</v>
      </c>
      <c r="L11" s="135"/>
    </row>
    <row r="12" spans="2:14" x14ac:dyDescent="0.25">
      <c r="B12" s="133"/>
      <c r="C12" s="13"/>
      <c r="D12" s="2"/>
      <c r="E12" s="11" t="str">
        <f>IF(F11="n","Number of Profiles before surface:",IF(F11="t","Time before surface (Minutes):",IF(F11="d","Distance before surface (Meters):","ERROR!  Enter T, N, or D for Profile Type.")))</f>
        <v>Number of Profiles before surface:</v>
      </c>
      <c r="F12" s="142">
        <v>6</v>
      </c>
      <c r="H12" s="117"/>
      <c r="I12" s="118"/>
      <c r="J12" s="119"/>
      <c r="K12" s="128">
        <f>'Glider Model'!Q6</f>
        <v>26768508</v>
      </c>
      <c r="L12" s="135"/>
      <c r="N12" s="26"/>
    </row>
    <row r="13" spans="2:14" x14ac:dyDescent="0.25">
      <c r="B13" s="133"/>
      <c r="C13" s="13"/>
      <c r="D13" s="2"/>
      <c r="E13" s="11" t="s">
        <v>49</v>
      </c>
      <c r="F13" s="142">
        <v>15</v>
      </c>
      <c r="H13" s="207"/>
      <c r="I13" s="274"/>
      <c r="J13" s="275"/>
      <c r="K13" s="276">
        <f>'Glider Model'!Q7</f>
        <v>119.32332828315295</v>
      </c>
      <c r="L13" s="135"/>
      <c r="N13" s="26"/>
    </row>
    <row r="14" spans="2:14" x14ac:dyDescent="0.25">
      <c r="B14" s="133"/>
      <c r="C14" s="13"/>
      <c r="D14" s="2"/>
      <c r="E14" s="11" t="s">
        <v>50</v>
      </c>
      <c r="F14" s="209">
        <v>8</v>
      </c>
      <c r="H14" s="207"/>
      <c r="I14" s="274"/>
      <c r="J14" s="275"/>
      <c r="K14" s="276">
        <f>'Glider Model'!Q8</f>
        <v>2293.4019088647397</v>
      </c>
      <c r="L14" s="135"/>
      <c r="N14" s="26"/>
    </row>
    <row r="15" spans="2:14" ht="6" customHeight="1" x14ac:dyDescent="0.25">
      <c r="B15" s="133"/>
      <c r="C15" s="47"/>
      <c r="F15" s="163"/>
      <c r="H15" s="207"/>
      <c r="I15" s="205"/>
      <c r="J15" s="205"/>
      <c r="K15" s="206"/>
      <c r="L15" s="135"/>
    </row>
    <row r="16" spans="2:14" ht="12.75" customHeight="1" x14ac:dyDescent="0.3">
      <c r="B16" s="133"/>
      <c r="C16" s="210" t="s">
        <v>51</v>
      </c>
      <c r="F16" s="15"/>
      <c r="H16" s="202"/>
      <c r="I16" s="203"/>
      <c r="J16" s="204"/>
      <c r="K16" s="239">
        <f xml:space="preserve"> 'Glider Model'!Q9</f>
        <v>119.32332828315295</v>
      </c>
      <c r="L16" s="135"/>
      <c r="N16" s="26"/>
    </row>
    <row r="17" spans="2:14" s="113" customFormat="1" ht="12.75" customHeight="1" x14ac:dyDescent="0.3">
      <c r="B17" s="136"/>
      <c r="C17" s="13"/>
      <c r="D17" s="2"/>
      <c r="E17" s="11" t="s">
        <v>52</v>
      </c>
      <c r="F17" s="142">
        <v>1000</v>
      </c>
      <c r="G17" s="138"/>
      <c r="H17" s="202"/>
      <c r="I17" s="203"/>
      <c r="J17" s="204"/>
      <c r="K17" s="239">
        <f xml:space="preserve"> 'Glider Model'!Q10</f>
        <v>2293.4019088647397</v>
      </c>
      <c r="L17" s="137"/>
      <c r="N17" s="273"/>
    </row>
    <row r="18" spans="2:14" ht="12.75" customHeight="1" x14ac:dyDescent="0.3">
      <c r="B18" s="133"/>
      <c r="C18" s="129" t="s">
        <v>53</v>
      </c>
      <c r="E18" s="11" t="s">
        <v>54</v>
      </c>
      <c r="F18" s="142">
        <v>0</v>
      </c>
      <c r="G18" s="113"/>
      <c r="H18" s="278" t="str">
        <f>IF(F18=0,"",IF(F18=1,"","ERROR!  Please enter 0 or 1."))</f>
        <v/>
      </c>
      <c r="I18" s="205"/>
      <c r="J18" s="277"/>
      <c r="K18" s="280">
        <f>F27*10*'Glider Model'!Z8</f>
        <v>689.91</v>
      </c>
      <c r="L18" s="135"/>
      <c r="N18" s="26"/>
    </row>
    <row r="19" spans="2:14" ht="12.75" customHeight="1" x14ac:dyDescent="0.3">
      <c r="B19" s="133"/>
      <c r="C19" s="129" t="s">
        <v>55</v>
      </c>
      <c r="E19" s="11" t="s">
        <v>56</v>
      </c>
      <c r="F19" s="142">
        <v>1</v>
      </c>
      <c r="H19" s="291"/>
      <c r="I19" s="289"/>
      <c r="J19" s="290" t="s">
        <v>57</v>
      </c>
      <c r="K19" s="239">
        <f>'Glider Model'!T15*(24/10.8)</f>
        <v>5.7699566547874444</v>
      </c>
      <c r="L19" s="135"/>
    </row>
    <row r="20" spans="2:14" ht="12.75" customHeight="1" x14ac:dyDescent="0.3">
      <c r="B20" s="133"/>
      <c r="C20" s="47"/>
      <c r="E20" s="11" t="s">
        <v>58</v>
      </c>
      <c r="F20" s="142">
        <v>1</v>
      </c>
      <c r="H20" s="292"/>
      <c r="I20" s="173"/>
      <c r="J20" s="288" t="s">
        <v>59</v>
      </c>
      <c r="K20" s="240">
        <f>(K43/100*11.2)+(F50*1.6)+(F51*11.2)+(F52*1.6)+(F53*6.4)+K19</f>
        <v>25.769956654787443</v>
      </c>
      <c r="L20" s="135"/>
    </row>
    <row r="21" spans="2:14" ht="12.75" customHeight="1" x14ac:dyDescent="0.25">
      <c r="B21" s="133"/>
      <c r="C21" s="47"/>
      <c r="E21" s="11" t="s">
        <v>60</v>
      </c>
      <c r="F21" s="142">
        <v>0</v>
      </c>
      <c r="J21" s="158"/>
      <c r="L21" s="135"/>
    </row>
    <row r="22" spans="2:14" x14ac:dyDescent="0.25">
      <c r="B22" s="133"/>
      <c r="C22" s="268" t="s">
        <v>61</v>
      </c>
      <c r="D22" s="116"/>
      <c r="E22" s="325" t="s">
        <v>62</v>
      </c>
      <c r="F22" s="326"/>
      <c r="J22" s="158"/>
      <c r="L22" s="135"/>
    </row>
    <row r="23" spans="2:14" ht="12.75" customHeight="1" x14ac:dyDescent="0.3">
      <c r="B23" s="133"/>
      <c r="H23" s="217" t="s">
        <v>63</v>
      </c>
      <c r="I23" s="218"/>
      <c r="J23" s="218"/>
      <c r="K23" s="219"/>
      <c r="L23" s="135"/>
    </row>
    <row r="24" spans="2:14" ht="12.75" customHeight="1" x14ac:dyDescent="0.25">
      <c r="B24" s="133"/>
      <c r="C24" s="109" t="s">
        <v>64</v>
      </c>
      <c r="D24" s="110"/>
      <c r="E24" s="110"/>
      <c r="F24" s="114"/>
      <c r="H24" s="220" t="str">
        <f>IF(F26&lt;&gt;"lc",IF(F26&lt;&gt;"ld",IF(F26&lt;&gt;"a",IF(F26&lt;&gt;"t","ERROR!  Enter Battery Type.",""),""),""),"")</f>
        <v/>
      </c>
      <c r="I24" s="221"/>
      <c r="J24" s="221"/>
      <c r="K24" s="222"/>
      <c r="L24" s="135"/>
    </row>
    <row r="25" spans="2:14" ht="12.75" customHeight="1" x14ac:dyDescent="0.25">
      <c r="B25" s="133"/>
      <c r="C25" s="156" t="s">
        <v>65</v>
      </c>
      <c r="D25" s="151"/>
      <c r="F25" s="15"/>
      <c r="H25" s="212"/>
      <c r="I25" s="213" t="s">
        <v>66</v>
      </c>
      <c r="J25" s="205"/>
      <c r="K25" s="208">
        <f xml:space="preserve"> 'Glider Model'!Y4</f>
        <v>13.341900723907077</v>
      </c>
      <c r="L25" s="135"/>
    </row>
    <row r="26" spans="2:14" ht="12.75" customHeight="1" x14ac:dyDescent="0.25">
      <c r="B26" s="133"/>
      <c r="C26" s="150"/>
      <c r="D26" s="151"/>
      <c r="E26" s="152" t="s">
        <v>67</v>
      </c>
      <c r="F26" s="157" t="s">
        <v>68</v>
      </c>
      <c r="H26" s="214"/>
      <c r="I26" s="215" t="s">
        <v>69</v>
      </c>
      <c r="J26" s="173"/>
      <c r="K26" s="216">
        <f xml:space="preserve">  'Glider Model'!Y5</f>
        <v>1592</v>
      </c>
      <c r="L26" s="135"/>
    </row>
    <row r="27" spans="2:14" ht="12.75" customHeight="1" x14ac:dyDescent="0.25">
      <c r="B27" s="133"/>
      <c r="C27" s="21"/>
      <c r="D27" s="2"/>
      <c r="E27" s="11" t="str">
        <f>IF(F26="t","Number of Li Packs:",IF(F26="a","Number of C-Cells",IF(F26="lc","Number of C-Cells:",IF(F26="ld","Number of DD-Cells:","ERROR"))))</f>
        <v>Number of DD-Cells:</v>
      </c>
      <c r="F27" s="142">
        <f>IF($E$22="Coastal",78,114)</f>
        <v>78</v>
      </c>
      <c r="J27" s="158"/>
      <c r="L27" s="135"/>
      <c r="N27" s="26"/>
    </row>
    <row r="28" spans="2:14" ht="13.4" customHeight="1" x14ac:dyDescent="0.3">
      <c r="B28" s="133"/>
      <c r="C28" s="21" t="s">
        <v>70</v>
      </c>
      <c r="D28" s="158" t="s">
        <v>71</v>
      </c>
      <c r="E28" s="282" t="s">
        <v>306</v>
      </c>
      <c r="F28" s="142"/>
      <c r="H28" s="217" t="s">
        <v>72</v>
      </c>
      <c r="I28" s="218"/>
      <c r="J28" s="218"/>
      <c r="K28" s="219"/>
      <c r="L28" s="135"/>
    </row>
    <row r="29" spans="2:14" x14ac:dyDescent="0.25">
      <c r="B29" s="133"/>
      <c r="C29" s="281" t="s">
        <v>73</v>
      </c>
      <c r="D29" s="181" t="s">
        <v>74</v>
      </c>
      <c r="E29" s="296">
        <v>0</v>
      </c>
      <c r="F29" s="143"/>
      <c r="H29" s="220"/>
      <c r="I29" s="221"/>
      <c r="J29" s="221"/>
      <c r="K29" s="222"/>
      <c r="L29" s="135"/>
    </row>
    <row r="30" spans="2:14" ht="13.4" customHeight="1" x14ac:dyDescent="0.25">
      <c r="B30" s="133"/>
      <c r="C30" s="23"/>
      <c r="D30" s="2"/>
      <c r="E30" s="295" t="str">
        <f>IF(AND(E29&gt;0, F51&gt;0), "Error: EK80 integration can't support Extended Energy bay", "")</f>
        <v/>
      </c>
      <c r="F30" s="199"/>
      <c r="H30" s="212"/>
      <c r="I30" s="213" t="s">
        <v>75</v>
      </c>
      <c r="J30" s="205"/>
      <c r="K30" s="280">
        <f>ROUND(IF(AND(E28="P",E29=0),550,IF(AND(E28="P",E29=1),800,IF(AND(E28="R",E29=0),215,IF(AND(E28="R",E29=1),300,0))))/K20,0)</f>
        <v>21</v>
      </c>
      <c r="L30" s="135"/>
    </row>
    <row r="31" spans="2:14" ht="13.4" customHeight="1" x14ac:dyDescent="0.3">
      <c r="B31" s="133"/>
      <c r="C31" s="3" t="s">
        <v>76</v>
      </c>
      <c r="D31" s="4"/>
      <c r="E31" s="200"/>
      <c r="F31" s="201"/>
      <c r="H31" s="214"/>
      <c r="I31" s="294" t="s">
        <v>77</v>
      </c>
      <c r="J31" s="173"/>
      <c r="K31" s="293">
        <f>20*K30</f>
        <v>420</v>
      </c>
      <c r="L31" s="135"/>
    </row>
    <row r="32" spans="2:14" x14ac:dyDescent="0.25">
      <c r="B32" s="133"/>
      <c r="C32" s="108"/>
      <c r="D32" s="35"/>
      <c r="E32" s="160" t="s">
        <v>78</v>
      </c>
      <c r="F32" s="143">
        <v>100</v>
      </c>
      <c r="L32" s="135"/>
    </row>
    <row r="33" spans="2:12" ht="12.75" customHeight="1" x14ac:dyDescent="0.3">
      <c r="B33" s="133"/>
      <c r="H33" s="115"/>
      <c r="I33" s="6"/>
      <c r="J33" s="6"/>
      <c r="K33" s="7"/>
      <c r="L33" s="135"/>
    </row>
    <row r="34" spans="2:12" ht="12.75" customHeight="1" x14ac:dyDescent="0.3">
      <c r="B34" s="133"/>
      <c r="C34" s="115" t="s">
        <v>79</v>
      </c>
      <c r="D34" s="6"/>
      <c r="E34" s="6"/>
      <c r="F34" s="7"/>
      <c r="H34" s="254"/>
      <c r="K34" s="15"/>
      <c r="L34" s="135"/>
    </row>
    <row r="35" spans="2:12" ht="12.75" customHeight="1" x14ac:dyDescent="0.3">
      <c r="B35" s="133"/>
      <c r="C35" s="226"/>
      <c r="D35" s="116"/>
      <c r="E35" s="36"/>
      <c r="F35" s="143"/>
      <c r="H35" s="255"/>
      <c r="I35" s="26"/>
      <c r="K35" s="256">
        <v>0</v>
      </c>
      <c r="L35" s="135"/>
    </row>
    <row r="36" spans="2:12" ht="12.75" customHeight="1" x14ac:dyDescent="0.25">
      <c r="B36" s="133"/>
      <c r="C36" s="129" t="s">
        <v>53</v>
      </c>
      <c r="E36" s="11" t="s">
        <v>80</v>
      </c>
      <c r="F36" s="142">
        <v>1</v>
      </c>
      <c r="H36" s="255"/>
      <c r="I36" s="26"/>
      <c r="K36" s="256">
        <v>0</v>
      </c>
      <c r="L36" s="135"/>
    </row>
    <row r="37" spans="2:12" ht="12.75" customHeight="1" x14ac:dyDescent="0.25">
      <c r="B37" s="133"/>
      <c r="C37" s="129" t="s">
        <v>55</v>
      </c>
      <c r="E37" s="11" t="s">
        <v>81</v>
      </c>
      <c r="F37" s="142">
        <v>0.5</v>
      </c>
      <c r="H37" s="257"/>
      <c r="I37" s="116"/>
      <c r="J37" s="116"/>
      <c r="K37" s="258">
        <v>1</v>
      </c>
      <c r="L37" s="135"/>
    </row>
    <row r="38" spans="2:12" ht="12.75" customHeight="1" x14ac:dyDescent="0.3">
      <c r="B38" s="133"/>
      <c r="C38" s="159" t="s">
        <v>82</v>
      </c>
      <c r="E38" s="11"/>
      <c r="F38" s="142"/>
      <c r="H38" s="138"/>
      <c r="L38" s="135"/>
    </row>
    <row r="39" spans="2:12" ht="12.75" customHeight="1" x14ac:dyDescent="0.3">
      <c r="B39" s="133"/>
      <c r="C39" s="47"/>
      <c r="E39" s="11" t="s">
        <v>83</v>
      </c>
      <c r="F39" s="142">
        <v>0.5</v>
      </c>
      <c r="H39" s="138"/>
      <c r="L39" s="135"/>
    </row>
    <row r="40" spans="2:12" ht="12.75" customHeight="1" x14ac:dyDescent="0.3">
      <c r="B40" s="133"/>
      <c r="C40" s="47"/>
      <c r="E40" s="11" t="s">
        <v>84</v>
      </c>
      <c r="F40" s="142">
        <v>1</v>
      </c>
      <c r="H40" s="138"/>
      <c r="L40" s="135"/>
    </row>
    <row r="41" spans="2:12" ht="12.75" customHeight="1" x14ac:dyDescent="0.25">
      <c r="B41" s="133"/>
      <c r="C41" s="47"/>
      <c r="E41" s="158" t="s">
        <v>85</v>
      </c>
      <c r="F41" s="142">
        <v>0</v>
      </c>
      <c r="H41" s="23"/>
      <c r="I41" s="2"/>
      <c r="J41" s="158"/>
      <c r="K41" s="199"/>
      <c r="L41" s="135"/>
    </row>
    <row r="42" spans="2:12" ht="13" x14ac:dyDescent="0.3">
      <c r="B42" s="133"/>
      <c r="C42" s="47"/>
      <c r="E42" s="11" t="s">
        <v>86</v>
      </c>
      <c r="F42" s="142">
        <v>1</v>
      </c>
      <c r="H42" s="3" t="s">
        <v>87</v>
      </c>
      <c r="I42" s="4"/>
      <c r="J42" s="200"/>
      <c r="K42" s="201"/>
      <c r="L42" s="135"/>
    </row>
    <row r="43" spans="2:12" x14ac:dyDescent="0.25">
      <c r="B43" s="133"/>
      <c r="C43" s="47"/>
      <c r="E43" s="11" t="s">
        <v>88</v>
      </c>
      <c r="F43" s="142">
        <v>0</v>
      </c>
      <c r="H43" s="108"/>
      <c r="I43" s="35"/>
      <c r="J43" s="160" t="s">
        <v>89</v>
      </c>
      <c r="K43" s="143">
        <v>50</v>
      </c>
      <c r="L43" s="135"/>
    </row>
    <row r="44" spans="2:12" ht="13" x14ac:dyDescent="0.3">
      <c r="B44" s="133"/>
      <c r="C44" s="49"/>
      <c r="D44" s="116"/>
      <c r="E44" s="36"/>
      <c r="F44" s="143"/>
      <c r="H44" s="138"/>
      <c r="L44" s="135"/>
    </row>
    <row r="45" spans="2:12" ht="13" x14ac:dyDescent="0.3">
      <c r="B45" s="133"/>
      <c r="E45" s="11"/>
      <c r="F45" s="199"/>
      <c r="G45" s="116"/>
      <c r="H45" s="138"/>
      <c r="L45" s="135"/>
    </row>
    <row r="46" spans="2:12" ht="12" customHeight="1" x14ac:dyDescent="0.3">
      <c r="B46" s="133"/>
      <c r="C46" s="115" t="s">
        <v>90</v>
      </c>
      <c r="D46" s="6"/>
      <c r="E46" s="227"/>
      <c r="F46" s="4"/>
      <c r="H46" s="6"/>
      <c r="I46" s="6"/>
      <c r="J46" s="6"/>
      <c r="K46" s="7"/>
      <c r="L46" s="135"/>
    </row>
    <row r="47" spans="2:12" ht="13" x14ac:dyDescent="0.3">
      <c r="B47" s="133"/>
      <c r="C47" s="210"/>
      <c r="H47" s="26"/>
      <c r="J47" s="26"/>
      <c r="L47" s="135"/>
    </row>
    <row r="48" spans="2:12" x14ac:dyDescent="0.25">
      <c r="B48" s="133"/>
      <c r="C48" s="129" t="s">
        <v>53</v>
      </c>
      <c r="D48" s="228"/>
      <c r="E48" s="7"/>
      <c r="F48" s="228"/>
      <c r="G48" s="7"/>
      <c r="H48" s="26"/>
      <c r="I48" s="26"/>
      <c r="J48" s="26"/>
      <c r="K48" s="26"/>
      <c r="L48" s="135"/>
    </row>
    <row r="49" spans="2:12" x14ac:dyDescent="0.25">
      <c r="B49" s="133"/>
      <c r="C49" s="129" t="s">
        <v>55</v>
      </c>
      <c r="D49" s="49"/>
      <c r="E49" s="50"/>
      <c r="F49" s="49"/>
      <c r="G49" s="235"/>
      <c r="H49" s="26"/>
      <c r="I49" s="26"/>
      <c r="J49" s="26"/>
      <c r="K49" s="26"/>
      <c r="L49" s="135"/>
    </row>
    <row r="50" spans="2:12" x14ac:dyDescent="0.25">
      <c r="B50" s="133"/>
      <c r="C50" s="159" t="s">
        <v>82</v>
      </c>
      <c r="D50" s="233" t="s">
        <v>91</v>
      </c>
      <c r="E50" s="234"/>
      <c r="F50" s="285">
        <v>1</v>
      </c>
      <c r="G50" s="238"/>
      <c r="H50" s="283"/>
      <c r="I50" s="283"/>
      <c r="J50" s="283"/>
      <c r="K50" s="284"/>
      <c r="L50" s="135"/>
    </row>
    <row r="51" spans="2:12" x14ac:dyDescent="0.25">
      <c r="B51" s="133"/>
      <c r="C51" s="159"/>
      <c r="D51" s="236" t="s">
        <v>92</v>
      </c>
      <c r="E51" s="237"/>
      <c r="F51" s="286">
        <v>1</v>
      </c>
      <c r="G51" s="238"/>
      <c r="H51" s="283"/>
      <c r="I51" s="283"/>
      <c r="J51" s="283"/>
      <c r="K51" s="283"/>
      <c r="L51" s="135"/>
    </row>
    <row r="52" spans="2:12" x14ac:dyDescent="0.25">
      <c r="B52" s="133"/>
      <c r="C52" s="159"/>
      <c r="D52" s="236" t="s">
        <v>93</v>
      </c>
      <c r="E52" s="237"/>
      <c r="F52" s="286">
        <v>1</v>
      </c>
      <c r="G52" s="50"/>
      <c r="H52" s="283"/>
      <c r="I52" s="283"/>
      <c r="J52" s="283"/>
      <c r="K52" s="283"/>
      <c r="L52" s="135"/>
    </row>
    <row r="53" spans="2:12" x14ac:dyDescent="0.25">
      <c r="B53" s="133"/>
      <c r="C53" s="49"/>
      <c r="D53" s="229" t="s">
        <v>94</v>
      </c>
      <c r="E53" s="287"/>
      <c r="F53" s="286">
        <v>0</v>
      </c>
      <c r="G53" s="287"/>
      <c r="H53" s="116"/>
      <c r="I53" s="116"/>
      <c r="J53" s="116"/>
      <c r="K53" s="50"/>
      <c r="L53" s="135"/>
    </row>
    <row r="54" spans="2:12" ht="13" thickBot="1" x14ac:dyDescent="0.3">
      <c r="B54" s="139"/>
      <c r="C54" s="140"/>
      <c r="D54" s="140"/>
      <c r="E54" s="140"/>
      <c r="F54" s="140"/>
      <c r="G54" s="271"/>
      <c r="H54" s="140"/>
      <c r="I54" s="140"/>
      <c r="J54" s="140"/>
      <c r="K54" s="140"/>
      <c r="L54" s="141"/>
    </row>
  </sheetData>
  <sheetProtection selectLockedCells="1"/>
  <mergeCells count="1">
    <mergeCell ref="E22:F22"/>
  </mergeCells>
  <phoneticPr fontId="2" type="noConversion"/>
  <conditionalFormatting sqref="E12">
    <cfRule type="cellIs" dxfId="9" priority="4" stopIfTrue="1" operator="equal">
      <formula>"ERROR!  Enter T, N, or D for Profile Type."</formula>
    </cfRule>
  </conditionalFormatting>
  <conditionalFormatting sqref="F6">
    <cfRule type="cellIs" dxfId="8" priority="2" stopIfTrue="1" operator="greaterThan">
      <formula>$F$17</formula>
    </cfRule>
  </conditionalFormatting>
  <conditionalFormatting sqref="F7">
    <cfRule type="cellIs" dxfId="7" priority="3" stopIfTrue="1" operator="greaterThan">
      <formula>$F$6</formula>
    </cfRule>
  </conditionalFormatting>
  <conditionalFormatting sqref="F17">
    <cfRule type="cellIs" dxfId="6" priority="1" stopIfTrue="1" operator="lessThan">
      <formula>$F$6</formula>
    </cfRule>
  </conditionalFormatting>
  <dataValidations count="1">
    <dataValidation type="list" allowBlank="1" showInputMessage="1" showErrorMessage="1" sqref="E22" xr:uid="{C647C9FA-F892-4E1A-97DF-907306C4E203}">
      <formula1>GliderTypes</formula1>
    </dataValidation>
  </dataValidations>
  <pageMargins left="0.75" right="0.75" top="1" bottom="1" header="0.5" footer="0.5"/>
  <pageSetup scale="8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337B-4928-4D13-95F1-8E2C8AD7FB45}">
  <sheetPr codeName="Sheet4">
    <pageSetUpPr fitToPage="1"/>
  </sheetPr>
  <dimension ref="A1:AC139"/>
  <sheetViews>
    <sheetView zoomScale="90" zoomScaleNormal="90" workbookViewId="0">
      <pane xSplit="2" ySplit="14" topLeftCell="C81" activePane="bottomRight" state="frozenSplit"/>
      <selection pane="topRight" activeCell="Q7" sqref="Q7"/>
      <selection pane="bottomLeft" activeCell="A37" sqref="A37:IV37"/>
      <selection pane="bottomRight" activeCell="D83" sqref="D83"/>
    </sheetView>
  </sheetViews>
  <sheetFormatPr defaultRowHeight="12.5" x14ac:dyDescent="0.25"/>
  <cols>
    <col min="1" max="1" width="4.54296875" customWidth="1"/>
    <col min="2" max="2" width="21.54296875" customWidth="1"/>
    <col min="3" max="3" width="5" customWidth="1"/>
    <col min="4" max="11" width="11.54296875" style="2" customWidth="1"/>
    <col min="12" max="16" width="11.54296875" customWidth="1"/>
    <col min="18" max="20" width="10" customWidth="1"/>
    <col min="24" max="24" width="10.54296875" bestFit="1" customWidth="1"/>
    <col min="25" max="25" width="10.54296875" customWidth="1"/>
    <col min="27" max="27" width="57.453125" customWidth="1"/>
    <col min="28" max="28" width="48.1796875" customWidth="1"/>
  </cols>
  <sheetData>
    <row r="1" spans="1:29" ht="15.5" x14ac:dyDescent="0.35">
      <c r="B1" s="1" t="s">
        <v>95</v>
      </c>
      <c r="L1" s="11" t="s">
        <v>96</v>
      </c>
      <c r="M1">
        <f>'Glider Parameters'!F7</f>
        <v>1</v>
      </c>
      <c r="S1" t="s">
        <v>97</v>
      </c>
      <c r="Z1" t="s">
        <v>98</v>
      </c>
      <c r="AC1" s="80">
        <v>1.707E-3</v>
      </c>
    </row>
    <row r="2" spans="1:29" ht="13.5" customHeight="1" x14ac:dyDescent="0.35">
      <c r="B2" s="1"/>
      <c r="F2" s="3" t="s">
        <v>99</v>
      </c>
      <c r="G2" s="4"/>
      <c r="H2" s="4"/>
      <c r="I2" s="5"/>
      <c r="J2" s="3" t="s">
        <v>34</v>
      </c>
      <c r="K2" s="4"/>
      <c r="L2" s="6"/>
      <c r="M2" s="96" t="str">
        <f>IF(M3&gt;M9,"Error! Profile Too Deep!","")</f>
        <v/>
      </c>
      <c r="N2" s="8" t="s">
        <v>100</v>
      </c>
      <c r="O2" s="9"/>
      <c r="P2" s="9"/>
      <c r="Q2" s="10"/>
      <c r="S2" s="11" t="s">
        <v>101</v>
      </c>
      <c r="T2" t="str">
        <f>'Glider Parameters'!F26</f>
        <v>Ld</v>
      </c>
      <c r="V2" s="8" t="s">
        <v>63</v>
      </c>
      <c r="W2" s="9"/>
      <c r="X2" s="9"/>
      <c r="Y2" s="10"/>
      <c r="Z2" t="s">
        <v>102</v>
      </c>
      <c r="AC2" s="80">
        <v>-7.6499999999999999E-2</v>
      </c>
    </row>
    <row r="3" spans="1:29" ht="13.5" customHeight="1" x14ac:dyDescent="0.3">
      <c r="B3" s="11" t="s">
        <v>103</v>
      </c>
      <c r="C3" s="2"/>
      <c r="D3" s="12">
        <v>41201</v>
      </c>
      <c r="F3" s="13" t="s">
        <v>104</v>
      </c>
      <c r="H3" s="11" t="s">
        <v>105</v>
      </c>
      <c r="I3" s="14">
        <f>IF(T2="Ld",'Glider Parameters'!F27,0)</f>
        <v>78</v>
      </c>
      <c r="J3" s="13"/>
      <c r="L3" s="11" t="s">
        <v>106</v>
      </c>
      <c r="M3" s="15">
        <f>'Glider Parameters'!F6</f>
        <v>200</v>
      </c>
      <c r="N3" s="16"/>
      <c r="O3" s="17"/>
      <c r="P3" s="18" t="s">
        <v>37</v>
      </c>
      <c r="Q3" s="19">
        <f>ATAN(M5/M4)*180/PI()</f>
        <v>21.370622269343183</v>
      </c>
      <c r="S3" s="20" t="s">
        <v>107</v>
      </c>
      <c r="U3" s="20" t="s">
        <v>108</v>
      </c>
      <c r="V3" s="16"/>
      <c r="W3" s="25"/>
      <c r="X3" s="25"/>
      <c r="Y3" s="176"/>
      <c r="Z3">
        <f>IF(M3&lt;34,17,0.00074*M3^2-0.0364*M3+17.4)</f>
        <v>39.72</v>
      </c>
      <c r="AC3">
        <v>1.2390000000000001</v>
      </c>
    </row>
    <row r="4" spans="1:29" ht="13.5" customHeight="1" x14ac:dyDescent="0.3">
      <c r="B4" s="11" t="s">
        <v>109</v>
      </c>
      <c r="C4" s="11" t="s">
        <v>110</v>
      </c>
      <c r="D4" s="162" t="s">
        <v>111</v>
      </c>
      <c r="F4" s="21"/>
      <c r="H4" s="11" t="s">
        <v>112</v>
      </c>
      <c r="I4" s="14">
        <f>IF(T2="Ld",0,'Glider Parameters'!F27)</f>
        <v>0</v>
      </c>
      <c r="J4" s="13"/>
      <c r="L4" s="11" t="s">
        <v>40</v>
      </c>
      <c r="M4" s="15">
        <f>'Glider Parameters'!F8</f>
        <v>0.23</v>
      </c>
      <c r="N4" s="16"/>
      <c r="O4" s="17"/>
      <c r="P4" s="18" t="s">
        <v>39</v>
      </c>
      <c r="Q4" s="19">
        <f>'Glider Parameters'!K7</f>
        <v>73.703703703703709</v>
      </c>
      <c r="R4">
        <f>Q7*24*60/(Q4*M6+M7)*M6</f>
        <v>2254.8194428427632</v>
      </c>
      <c r="S4" s="20" t="s">
        <v>113</v>
      </c>
      <c r="T4" s="20" t="s">
        <v>114</v>
      </c>
      <c r="U4" s="22" t="s">
        <v>115</v>
      </c>
      <c r="V4" s="211" t="s">
        <v>66</v>
      </c>
      <c r="W4" s="25"/>
      <c r="X4" s="25"/>
      <c r="Y4" s="28">
        <f xml:space="preserve"> SUM(X16, X31, X45) + R110</f>
        <v>13.341900723907077</v>
      </c>
      <c r="Z4" t="s">
        <v>116</v>
      </c>
      <c r="AC4">
        <v>-8.6920000000000002</v>
      </c>
    </row>
    <row r="5" spans="1:29" ht="13.5" customHeight="1" x14ac:dyDescent="0.25">
      <c r="D5" s="23"/>
      <c r="F5" s="13"/>
      <c r="H5" s="11" t="s">
        <v>117</v>
      </c>
      <c r="I5" s="24">
        <f>30000*I4+I3*388000</f>
        <v>30264000</v>
      </c>
      <c r="J5" s="13"/>
      <c r="L5" s="11" t="s">
        <v>42</v>
      </c>
      <c r="M5" s="15">
        <f>'Glider Parameters'!F9</f>
        <v>0.09</v>
      </c>
      <c r="N5" s="16"/>
      <c r="O5" s="25"/>
      <c r="P5" s="18" t="s">
        <v>41</v>
      </c>
      <c r="Q5" s="153">
        <f>'Glider Parameters'!K8</f>
        <v>1017.1111111111112</v>
      </c>
      <c r="S5" s="26">
        <v>0</v>
      </c>
      <c r="T5" s="26">
        <v>0.7</v>
      </c>
      <c r="U5" s="26">
        <v>0.77</v>
      </c>
      <c r="V5" s="211" t="s">
        <v>69</v>
      </c>
      <c r="W5" s="25"/>
      <c r="X5" s="25"/>
      <c r="Y5" s="28">
        <f xml:space="preserve"> SUM(Y16, Y31, Y45) + (Q7*R110)</f>
        <v>1592</v>
      </c>
      <c r="Z5" s="80">
        <f>IF(M3&lt;600, 199, 0.00013*M3^2-0.12*M3+225)*F116</f>
        <v>166.49534528028104</v>
      </c>
      <c r="AC5">
        <v>23.42</v>
      </c>
    </row>
    <row r="6" spans="1:29" x14ac:dyDescent="0.25">
      <c r="B6" s="11" t="s">
        <v>118</v>
      </c>
      <c r="C6" s="27"/>
      <c r="D6" s="23" t="s">
        <v>119</v>
      </c>
      <c r="F6" s="13" t="s">
        <v>120</v>
      </c>
      <c r="H6" s="11" t="s">
        <v>121</v>
      </c>
      <c r="I6" s="14">
        <v>0</v>
      </c>
      <c r="J6" s="13"/>
      <c r="L6" s="11" t="s">
        <v>122</v>
      </c>
      <c r="M6" s="15">
        <f>'Glider Parameters'!F12</f>
        <v>6</v>
      </c>
      <c r="N6" s="16"/>
      <c r="O6" s="17"/>
      <c r="P6" s="18" t="s">
        <v>123</v>
      </c>
      <c r="Q6" s="28">
        <f>I5*Z8*IF(Z9&gt;1,1,Z9)</f>
        <v>26768508</v>
      </c>
      <c r="S6" s="26">
        <v>10</v>
      </c>
      <c r="T6" s="26">
        <v>0.85</v>
      </c>
      <c r="U6" s="26">
        <v>0.88</v>
      </c>
      <c r="V6" s="177"/>
      <c r="W6" s="178"/>
      <c r="X6" s="178"/>
      <c r="Y6" s="179"/>
    </row>
    <row r="7" spans="1:29" x14ac:dyDescent="0.25">
      <c r="C7" s="29"/>
      <c r="D7" s="23" t="s">
        <v>124</v>
      </c>
      <c r="F7" s="13"/>
      <c r="H7" s="11" t="s">
        <v>112</v>
      </c>
      <c r="I7" s="14">
        <f>'Glider Parameters'!F29</f>
        <v>0</v>
      </c>
      <c r="J7" s="13"/>
      <c r="L7" s="11" t="s">
        <v>49</v>
      </c>
      <c r="M7" s="15">
        <f>'Glider Parameters'!F13</f>
        <v>15</v>
      </c>
      <c r="N7" s="30"/>
      <c r="O7" s="31"/>
      <c r="P7" s="32" t="s">
        <v>125</v>
      </c>
      <c r="Q7" s="33">
        <f>Q6/24/3600/(T15 + R112)</f>
        <v>119.32332828315295</v>
      </c>
      <c r="S7" s="26">
        <v>20</v>
      </c>
      <c r="T7" s="26">
        <v>1</v>
      </c>
      <c r="U7" s="26">
        <v>1</v>
      </c>
      <c r="V7" s="26"/>
      <c r="W7" s="26"/>
      <c r="X7" s="26"/>
      <c r="Y7" s="26"/>
    </row>
    <row r="8" spans="1:29" x14ac:dyDescent="0.25">
      <c r="E8" s="23"/>
      <c r="F8" s="34"/>
      <c r="G8" s="35"/>
      <c r="H8" s="36" t="s">
        <v>117</v>
      </c>
      <c r="I8" s="37">
        <f>I7*30000+I6*60000</f>
        <v>0</v>
      </c>
      <c r="J8" s="34"/>
      <c r="K8" s="35"/>
      <c r="L8" s="36" t="s">
        <v>50</v>
      </c>
      <c r="M8" s="38">
        <f>'Glider Parameters'!F14</f>
        <v>8</v>
      </c>
      <c r="N8" s="39"/>
      <c r="O8" s="40"/>
      <c r="P8" s="41" t="s">
        <v>126</v>
      </c>
      <c r="Q8" s="42">
        <f>Q7*24*3600*Q4*M6/(Q4*M6+M7)*M4/1000</f>
        <v>2293.4019088647397</v>
      </c>
      <c r="S8" s="16"/>
      <c r="T8" s="17"/>
      <c r="U8" s="18" t="s">
        <v>127</v>
      </c>
      <c r="V8" s="18"/>
      <c r="W8" s="18"/>
      <c r="X8" s="18"/>
      <c r="Y8" s="18"/>
      <c r="Z8" s="43">
        <f>IF(T2="a",IF(M8&lt;20,0.7+M8*0.015,1),M8*0.1925/20+0.8075)</f>
        <v>0.88449999999999995</v>
      </c>
    </row>
    <row r="9" spans="1:29" x14ac:dyDescent="0.25">
      <c r="E9" s="23"/>
      <c r="F9" s="108"/>
      <c r="G9" s="35"/>
      <c r="H9" s="36" t="s">
        <v>128</v>
      </c>
      <c r="I9" s="51">
        <f>'Glider Parameters'!F28</f>
        <v>0</v>
      </c>
      <c r="J9" s="92"/>
      <c r="K9" s="93"/>
      <c r="L9" s="94" t="s">
        <v>129</v>
      </c>
      <c r="M9" s="95">
        <f>'Glider Parameters'!F17</f>
        <v>1000</v>
      </c>
      <c r="N9" s="168" t="s">
        <v>130</v>
      </c>
      <c r="O9" s="169"/>
      <c r="P9" s="170"/>
      <c r="Q9" s="171">
        <f>Q7 * I10 / 100</f>
        <v>119.32332828315295</v>
      </c>
      <c r="S9" s="16"/>
      <c r="T9" s="17"/>
      <c r="U9" s="18" t="s">
        <v>131</v>
      </c>
      <c r="V9" s="18"/>
      <c r="W9" s="18"/>
      <c r="X9" s="18"/>
      <c r="Y9" s="18"/>
      <c r="Z9" s="43">
        <f>IF(T2="a",AC$1*I9^4+AC$2*I9^3+AC$3*I9^2+AC$4*I9+AC$5,IF(T2="l",IF(I9&lt;=12.1,1,0.83),IF(I9&lt;=13,1,0.83)))</f>
        <v>1</v>
      </c>
    </row>
    <row r="10" spans="1:29" x14ac:dyDescent="0.25">
      <c r="B10" s="229" t="s">
        <v>132</v>
      </c>
      <c r="C10" s="230"/>
      <c r="D10" s="231">
        <f>IF(T$2="a",12,IF(LEFT(T$2, 1)="l",10.8,14.4))</f>
        <v>10.8</v>
      </c>
      <c r="E10" s="53"/>
      <c r="F10" s="164" t="s">
        <v>133</v>
      </c>
      <c r="G10" s="165"/>
      <c r="H10" s="166" t="s">
        <v>134</v>
      </c>
      <c r="I10" s="167">
        <f xml:space="preserve"> 'Glider Parameters'!F32</f>
        <v>100</v>
      </c>
      <c r="N10" s="172" t="s">
        <v>135</v>
      </c>
      <c r="O10" s="173"/>
      <c r="P10" s="174"/>
      <c r="Q10" s="175">
        <f xml:space="preserve"> Q8 * I10 / 100</f>
        <v>2293.4019088647397</v>
      </c>
      <c r="V10" s="18"/>
      <c r="W10" s="18"/>
      <c r="X10" s="18"/>
      <c r="Y10" s="18"/>
    </row>
    <row r="11" spans="1:29" x14ac:dyDescent="0.25">
      <c r="E11" s="53"/>
      <c r="P11" t="s">
        <v>136</v>
      </c>
    </row>
    <row r="12" spans="1:29" x14ac:dyDescent="0.25">
      <c r="A12" s="44"/>
      <c r="B12" s="44"/>
      <c r="C12" s="7"/>
      <c r="D12" s="45"/>
      <c r="E12" s="4"/>
      <c r="F12" s="4"/>
      <c r="G12" s="4"/>
      <c r="H12" s="4"/>
      <c r="I12" s="4"/>
      <c r="J12" s="5"/>
      <c r="K12" s="45" t="s">
        <v>137</v>
      </c>
      <c r="L12" s="7"/>
      <c r="M12" s="44" t="s">
        <v>138</v>
      </c>
      <c r="N12" s="7"/>
      <c r="O12" s="45" t="s">
        <v>139</v>
      </c>
      <c r="P12" s="7"/>
      <c r="Q12" s="46"/>
      <c r="R12" s="44"/>
      <c r="S12" s="6" t="s">
        <v>140</v>
      </c>
      <c r="T12" s="7"/>
      <c r="U12" s="7"/>
      <c r="V12" s="44"/>
      <c r="W12" s="6" t="s">
        <v>141</v>
      </c>
      <c r="X12" s="6"/>
      <c r="Y12" s="7"/>
    </row>
    <row r="13" spans="1:29" x14ac:dyDescent="0.25">
      <c r="A13" s="47"/>
      <c r="B13" s="47" t="s">
        <v>142</v>
      </c>
      <c r="C13" s="15"/>
      <c r="D13" s="13" t="s">
        <v>143</v>
      </c>
      <c r="E13" s="2" t="s">
        <v>144</v>
      </c>
      <c r="F13" s="2" t="s">
        <v>145</v>
      </c>
      <c r="G13" s="2" t="s">
        <v>146</v>
      </c>
      <c r="H13" s="2" t="s">
        <v>147</v>
      </c>
      <c r="I13" s="2" t="s">
        <v>148</v>
      </c>
      <c r="J13" s="14" t="s">
        <v>149</v>
      </c>
      <c r="K13" s="13" t="s">
        <v>150</v>
      </c>
      <c r="L13" s="14" t="s">
        <v>151</v>
      </c>
      <c r="M13" s="13" t="s">
        <v>150</v>
      </c>
      <c r="N13" s="14" t="s">
        <v>151</v>
      </c>
      <c r="O13" s="13" t="s">
        <v>150</v>
      </c>
      <c r="P13" s="14" t="s">
        <v>152</v>
      </c>
      <c r="Q13" s="48" t="s">
        <v>153</v>
      </c>
      <c r="R13" s="13" t="s">
        <v>154</v>
      </c>
      <c r="S13" s="2" t="s">
        <v>155</v>
      </c>
      <c r="T13" s="14" t="s">
        <v>156</v>
      </c>
      <c r="U13" s="14" t="s">
        <v>157</v>
      </c>
      <c r="V13" s="13" t="s">
        <v>158</v>
      </c>
      <c r="W13" s="2" t="s">
        <v>159</v>
      </c>
      <c r="X13" s="162" t="s">
        <v>160</v>
      </c>
      <c r="Y13" s="180" t="s">
        <v>139</v>
      </c>
    </row>
    <row r="14" spans="1:29" x14ac:dyDescent="0.25">
      <c r="A14" s="47"/>
      <c r="B14" s="49"/>
      <c r="C14" s="50" t="s">
        <v>161</v>
      </c>
      <c r="D14" s="34" t="s">
        <v>162</v>
      </c>
      <c r="E14" s="35" t="s">
        <v>163</v>
      </c>
      <c r="F14" s="35" t="s">
        <v>164</v>
      </c>
      <c r="G14" s="35" t="s">
        <v>165</v>
      </c>
      <c r="H14" s="35" t="s">
        <v>164</v>
      </c>
      <c r="I14" s="35" t="s">
        <v>166</v>
      </c>
      <c r="J14" s="51" t="s">
        <v>167</v>
      </c>
      <c r="K14" s="34" t="s">
        <v>168</v>
      </c>
      <c r="L14" s="51" t="s">
        <v>168</v>
      </c>
      <c r="M14" s="34" t="s">
        <v>168</v>
      </c>
      <c r="N14" s="51" t="s">
        <v>168</v>
      </c>
      <c r="O14" s="34" t="s">
        <v>168</v>
      </c>
      <c r="P14" s="51" t="s">
        <v>168</v>
      </c>
      <c r="Q14" s="52" t="s">
        <v>169</v>
      </c>
      <c r="R14" s="34" t="s">
        <v>170</v>
      </c>
      <c r="S14" s="35" t="s">
        <v>170</v>
      </c>
      <c r="T14" s="51" t="s">
        <v>171</v>
      </c>
      <c r="U14" s="51" t="s">
        <v>172</v>
      </c>
      <c r="V14" s="34" t="s">
        <v>173</v>
      </c>
      <c r="W14" s="35" t="s">
        <v>168</v>
      </c>
      <c r="X14" s="181" t="s">
        <v>174</v>
      </c>
      <c r="Y14" s="182" t="s">
        <v>175</v>
      </c>
      <c r="Z14" s="2" t="s">
        <v>176</v>
      </c>
      <c r="AA14" s="2" t="s">
        <v>177</v>
      </c>
      <c r="AB14" s="2" t="s">
        <v>178</v>
      </c>
    </row>
    <row r="15" spans="1:29" x14ac:dyDescent="0.25">
      <c r="A15" s="47">
        <v>1</v>
      </c>
      <c r="B15" s="47" t="s">
        <v>179</v>
      </c>
      <c r="C15" s="15"/>
      <c r="D15" s="13"/>
      <c r="E15" s="53"/>
      <c r="F15" s="53"/>
      <c r="G15" s="53"/>
      <c r="H15" s="53"/>
      <c r="I15" s="53"/>
      <c r="J15" s="54"/>
      <c r="K15" s="55"/>
      <c r="L15" s="54"/>
      <c r="M15" s="55"/>
      <c r="N15" s="54"/>
      <c r="O15" s="55"/>
      <c r="P15" s="54"/>
      <c r="Q15" s="99"/>
      <c r="R15" s="55">
        <f>SUM(R16,R31,R45)</f>
        <v>77913.611463111942</v>
      </c>
      <c r="S15" s="53">
        <f>SUM(S16,S31,S45)</f>
        <v>13.530482404416666</v>
      </c>
      <c r="T15" s="54">
        <f>SUM(T16,T31,T45)</f>
        <v>2.5964804946543505</v>
      </c>
      <c r="U15" s="56">
        <f t="shared" ref="U15:U52" si="0">T15/T$15</f>
        <v>1</v>
      </c>
      <c r="V15" s="297"/>
      <c r="W15" s="298"/>
      <c r="X15" s="299"/>
      <c r="Y15" s="300"/>
    </row>
    <row r="16" spans="1:29" x14ac:dyDescent="0.25">
      <c r="A16" s="47">
        <f t="shared" ref="A16:A81" si="1">A15+1</f>
        <v>2</v>
      </c>
      <c r="B16" s="47" t="s">
        <v>180</v>
      </c>
      <c r="C16" s="14">
        <v>1</v>
      </c>
      <c r="D16" s="57"/>
      <c r="E16" s="58"/>
      <c r="F16" s="58"/>
      <c r="G16" s="58"/>
      <c r="H16" s="58"/>
      <c r="I16" s="58"/>
      <c r="J16" s="59"/>
      <c r="K16" s="60"/>
      <c r="L16" s="59"/>
      <c r="M16" s="60"/>
      <c r="N16" s="59"/>
      <c r="O16" s="60"/>
      <c r="P16" s="59"/>
      <c r="Q16" s="100"/>
      <c r="R16" s="60">
        <f>SUM(R17,R22,R25,R26,R27,R30,)</f>
        <v>42772.954886752916</v>
      </c>
      <c r="S16" s="58">
        <f>SUM(S17,S22,S25,S26,S27,S30,)</f>
        <v>0.99743248441666665</v>
      </c>
      <c r="T16" s="59">
        <f>SUM(T17,T22,T25,T26,T27,T30,)</f>
        <v>1.4219157607681165</v>
      </c>
      <c r="U16" s="61">
        <f t="shared" si="0"/>
        <v>0.54763198248381417</v>
      </c>
      <c r="V16" s="301"/>
      <c r="W16" s="302"/>
      <c r="X16" s="303">
        <f>SUM(X17:X30)</f>
        <v>0</v>
      </c>
      <c r="Y16" s="304">
        <f>SUM(Y17:Y30)</f>
        <v>0</v>
      </c>
      <c r="Z16">
        <v>1</v>
      </c>
    </row>
    <row r="17" spans="1:28" x14ac:dyDescent="0.25">
      <c r="A17" s="47">
        <f t="shared" si="1"/>
        <v>3</v>
      </c>
      <c r="B17" s="47" t="s">
        <v>181</v>
      </c>
      <c r="C17" s="14">
        <v>2</v>
      </c>
      <c r="D17" s="87"/>
      <c r="E17" s="88"/>
      <c r="F17" s="88"/>
      <c r="G17" s="88"/>
      <c r="H17" s="88"/>
      <c r="I17" s="88"/>
      <c r="J17" s="89"/>
      <c r="K17" s="90"/>
      <c r="L17" s="89"/>
      <c r="M17" s="90"/>
      <c r="N17" s="89"/>
      <c r="O17" s="90"/>
      <c r="P17" s="89"/>
      <c r="Q17" s="101"/>
      <c r="R17" s="90">
        <f>SUM(R18:R21)</f>
        <v>33245.180183138669</v>
      </c>
      <c r="S17" s="88">
        <f>SUM(S18:S21)</f>
        <v>4.1147375000000008E-4</v>
      </c>
      <c r="T17" s="89">
        <f>SUM(T18:T21)</f>
        <v>1.2118534846152764</v>
      </c>
      <c r="U17" s="91">
        <f t="shared" si="0"/>
        <v>0.46672928493406657</v>
      </c>
      <c r="V17" s="183"/>
      <c r="W17" s="184"/>
      <c r="X17" s="185"/>
      <c r="Y17" s="186"/>
      <c r="Z17">
        <v>1</v>
      </c>
    </row>
    <row r="18" spans="1:28" x14ac:dyDescent="0.25">
      <c r="A18" s="47">
        <f t="shared" si="1"/>
        <v>4</v>
      </c>
      <c r="B18" s="47" t="s">
        <v>182</v>
      </c>
      <c r="C18" s="14">
        <v>3</v>
      </c>
      <c r="D18" s="62">
        <v>2.5</v>
      </c>
      <c r="E18" s="63">
        <v>2.5000000000000001E-4</v>
      </c>
      <c r="F18" s="63">
        <f>D18*E18</f>
        <v>6.2500000000000001E-4</v>
      </c>
      <c r="G18" s="63">
        <v>2.5000000000000001E-4</v>
      </c>
      <c r="H18" s="63">
        <v>6.2500000000000001E-4</v>
      </c>
      <c r="I18" s="63">
        <v>0</v>
      </c>
      <c r="J18" s="64">
        <v>0</v>
      </c>
      <c r="K18" s="65">
        <f>K19+K20</f>
        <v>481.63534528028106</v>
      </c>
      <c r="L18" s="64">
        <f>L19</f>
        <v>4422.2222222222226</v>
      </c>
      <c r="M18" s="65">
        <v>0</v>
      </c>
      <c r="N18" s="64">
        <v>600</v>
      </c>
      <c r="O18" s="65">
        <f>(Q$4*60*M$6)/L18*K18+M$7*60/N18*M18</f>
        <v>2889.8120716816866</v>
      </c>
      <c r="P18" s="64">
        <f>(Q$4*M$6+M$7)*60-O18</f>
        <v>24543.521261651651</v>
      </c>
      <c r="Q18" s="102">
        <f>O18/(O18+P18)</f>
        <v>0.10533944368219998</v>
      </c>
      <c r="R18" s="65">
        <f>F18*O18</f>
        <v>1.8061325448010541</v>
      </c>
      <c r="S18" s="63">
        <f>J18*P18</f>
        <v>0</v>
      </c>
      <c r="T18" s="64">
        <f>((S18+R18)/(Q$4*M$6+M$7)/60)*Z18</f>
        <v>6.5837152301374989E-5</v>
      </c>
      <c r="U18" s="66">
        <f t="shared" si="0"/>
        <v>2.5356305366792053E-5</v>
      </c>
      <c r="V18" s="305"/>
      <c r="W18" s="306"/>
      <c r="X18" s="307"/>
      <c r="Y18" s="308"/>
      <c r="Z18">
        <v>1</v>
      </c>
    </row>
    <row r="19" spans="1:28" x14ac:dyDescent="0.25">
      <c r="A19" s="47">
        <f t="shared" si="1"/>
        <v>5</v>
      </c>
      <c r="B19" s="47" t="s">
        <v>183</v>
      </c>
      <c r="C19" s="14">
        <v>3</v>
      </c>
      <c r="D19" s="62">
        <f>$D$10</f>
        <v>10.8</v>
      </c>
      <c r="E19" s="68">
        <f>IF(M9=1000,1.672+0.006*M3,(3970*M3/M9+39.5)/1000)</f>
        <v>2.8719999999999999</v>
      </c>
      <c r="F19" s="68">
        <f>D19*E19</f>
        <v>31.017600000000002</v>
      </c>
      <c r="G19" s="68"/>
      <c r="H19" s="68"/>
      <c r="I19" s="68">
        <v>0</v>
      </c>
      <c r="J19" s="69">
        <v>0</v>
      </c>
      <c r="K19" s="70">
        <f>IF(M9=200,Z3,Z5)</f>
        <v>166.49534528028104</v>
      </c>
      <c r="L19" s="69">
        <f>Q4*60</f>
        <v>4422.2222222222226</v>
      </c>
      <c r="M19" s="70">
        <v>0</v>
      </c>
      <c r="N19" s="69">
        <f>M$7*60</f>
        <v>900</v>
      </c>
      <c r="O19" s="70">
        <f>(Q$4*60*M$6)/L19*K19+M$7*60/N19*M19</f>
        <v>998.9720716816862</v>
      </c>
      <c r="P19" s="69">
        <f>(Q$4*M$6+M$7)*60-O19</f>
        <v>26434.361261651651</v>
      </c>
      <c r="Q19" s="103">
        <f>O19/(O19+P19)</f>
        <v>3.6414534812212129E-2</v>
      </c>
      <c r="R19" s="70">
        <f>F19*O19</f>
        <v>30985.716130593872</v>
      </c>
      <c r="S19" s="68">
        <f>J19*P19</f>
        <v>0</v>
      </c>
      <c r="T19" s="69">
        <f>((S19+R19)/(Q$4*M$6+M$7)/60)*Z19</f>
        <v>1.1294914749912708</v>
      </c>
      <c r="U19" s="71">
        <f t="shared" si="0"/>
        <v>0.43500865010027018</v>
      </c>
      <c r="V19" s="309"/>
      <c r="W19" s="310"/>
      <c r="X19" s="311"/>
      <c r="Y19" s="312"/>
      <c r="Z19">
        <v>1</v>
      </c>
      <c r="AB19" t="s">
        <v>184</v>
      </c>
    </row>
    <row r="20" spans="1:28" x14ac:dyDescent="0.25">
      <c r="A20" s="47">
        <f t="shared" si="1"/>
        <v>6</v>
      </c>
      <c r="B20" s="47" t="s">
        <v>185</v>
      </c>
      <c r="C20" s="14">
        <v>3</v>
      </c>
      <c r="D20" s="62">
        <f>$D$10</f>
        <v>10.8</v>
      </c>
      <c r="E20" s="68">
        <f>IF(M9=1000,0.11,0.198)</f>
        <v>0.11</v>
      </c>
      <c r="F20" s="68">
        <f>D20*E20</f>
        <v>1.1880000000000002</v>
      </c>
      <c r="G20" s="68"/>
      <c r="H20" s="68"/>
      <c r="I20" s="68"/>
      <c r="J20" s="69"/>
      <c r="K20" s="70">
        <f>IF(M9=100,8,IF(M9=200,17,IF(M1&lt;50,320-4.86*M1,0)))</f>
        <v>315.14</v>
      </c>
      <c r="L20" s="69">
        <f>Q4*60</f>
        <v>4422.2222222222226</v>
      </c>
      <c r="M20" s="70">
        <v>0</v>
      </c>
      <c r="N20" s="69">
        <f>M$7*60</f>
        <v>900</v>
      </c>
      <c r="O20" s="70">
        <f>(Q$4*60*M$6)/L20*K20+M$7*60/N20*M20</f>
        <v>1890.84</v>
      </c>
      <c r="P20" s="69">
        <f>(Q$4*M$6+M$7)*60-O20</f>
        <v>25542.493333333336</v>
      </c>
      <c r="Q20" s="103">
        <f>O20/(O20+P20)</f>
        <v>6.8924908869987839E-2</v>
      </c>
      <c r="R20" s="70">
        <f>F20*O20</f>
        <v>2246.3179200000004</v>
      </c>
      <c r="S20" s="68">
        <f>J20*P20</f>
        <v>0</v>
      </c>
      <c r="T20" s="69">
        <f>((S20+R20)/(Q$4*M$6+M$7)/60)*Z20</f>
        <v>8.1882791737545563E-2</v>
      </c>
      <c r="U20" s="71">
        <f t="shared" si="0"/>
        <v>3.1536070425380182E-2</v>
      </c>
      <c r="V20" s="309"/>
      <c r="W20" s="310"/>
      <c r="X20" s="311"/>
      <c r="Y20" s="312"/>
      <c r="Z20">
        <v>1</v>
      </c>
      <c r="AB20" t="s">
        <v>186</v>
      </c>
    </row>
    <row r="21" spans="1:28" x14ac:dyDescent="0.25">
      <c r="A21" s="47">
        <f t="shared" si="1"/>
        <v>7</v>
      </c>
      <c r="B21" s="47" t="s">
        <v>187</v>
      </c>
      <c r="C21" s="14">
        <v>3</v>
      </c>
      <c r="D21" s="62">
        <f>$D$10</f>
        <v>10.8</v>
      </c>
      <c r="E21" s="63">
        <v>0.6</v>
      </c>
      <c r="F21" s="63">
        <f>D21*E21</f>
        <v>6.48</v>
      </c>
      <c r="G21" s="63"/>
      <c r="H21" s="63"/>
      <c r="I21" s="63">
        <v>1.0000000000000001E-9</v>
      </c>
      <c r="J21" s="64">
        <f>I21*15</f>
        <v>1.5000000000000002E-8</v>
      </c>
      <c r="K21" s="65">
        <v>0.25</v>
      </c>
      <c r="L21" s="64">
        <f>Q$4*60</f>
        <v>4422.2222222222226</v>
      </c>
      <c r="M21" s="65">
        <v>0.25</v>
      </c>
      <c r="N21" s="64">
        <f>M$7*60</f>
        <v>900</v>
      </c>
      <c r="O21" s="65">
        <f>(Q$4*60*M$6)/L21*K21+M$7*60/N21*M21</f>
        <v>1.75</v>
      </c>
      <c r="P21" s="64">
        <f>(Q$4*M$6+M$7)*60-O21</f>
        <v>27431.583333333336</v>
      </c>
      <c r="Q21" s="102">
        <f>O21/(O21+P21)</f>
        <v>6.37910085054678E-5</v>
      </c>
      <c r="R21" s="65">
        <f>F21*O21</f>
        <v>11.34</v>
      </c>
      <c r="S21" s="63">
        <f>J21*P21</f>
        <v>4.1147375000000008E-4</v>
      </c>
      <c r="T21" s="64">
        <f>((S21+R21)/(Q$4*M$6+M$7)/60)*Z21</f>
        <v>4.1338073415856616E-4</v>
      </c>
      <c r="U21" s="66">
        <f t="shared" si="0"/>
        <v>1.5920810304935349E-4</v>
      </c>
      <c r="V21" s="305"/>
      <c r="W21" s="306"/>
      <c r="X21" s="307"/>
      <c r="Y21" s="308"/>
      <c r="Z21">
        <v>1</v>
      </c>
    </row>
    <row r="22" spans="1:28" x14ac:dyDescent="0.25">
      <c r="A22" s="47">
        <f t="shared" si="1"/>
        <v>8</v>
      </c>
      <c r="B22" s="47" t="s">
        <v>188</v>
      </c>
      <c r="C22" s="14">
        <v>2</v>
      </c>
      <c r="D22" s="87"/>
      <c r="E22" s="88"/>
      <c r="F22" s="88"/>
      <c r="G22" s="88"/>
      <c r="H22" s="88"/>
      <c r="I22" s="88"/>
      <c r="J22" s="89"/>
      <c r="K22" s="90"/>
      <c r="L22" s="89"/>
      <c r="M22" s="90"/>
      <c r="N22" s="89"/>
      <c r="O22" s="90"/>
      <c r="P22" s="89"/>
      <c r="Q22" s="101"/>
      <c r="R22" s="90">
        <f>SUM(R23:R24)</f>
        <v>870.36508379880092</v>
      </c>
      <c r="S22" s="88">
        <f>SUM(S23:S24)</f>
        <v>4.0551200000000007E-4</v>
      </c>
      <c r="T22" s="89">
        <f>SUM(T23:T24)</f>
        <v>3.1726567046566255E-2</v>
      </c>
      <c r="U22" s="91">
        <f t="shared" si="0"/>
        <v>1.2219066198219128E-2</v>
      </c>
      <c r="V22" s="183"/>
      <c r="W22" s="184"/>
      <c r="X22" s="185"/>
      <c r="Y22" s="186"/>
      <c r="Z22">
        <v>1</v>
      </c>
    </row>
    <row r="23" spans="1:28" x14ac:dyDescent="0.25">
      <c r="A23" s="47">
        <f t="shared" si="1"/>
        <v>9</v>
      </c>
      <c r="B23" s="47" t="s">
        <v>182</v>
      </c>
      <c r="C23" s="14">
        <v>3</v>
      </c>
      <c r="D23" s="62">
        <v>2.5</v>
      </c>
      <c r="E23" s="63">
        <v>2.5000000000000001E-4</v>
      </c>
      <c r="F23" s="63">
        <f>D23*E23</f>
        <v>6.2500000000000001E-4</v>
      </c>
      <c r="G23" s="63">
        <v>2.5000000000000001E-4</v>
      </c>
      <c r="H23" s="63">
        <v>6.2500000000000001E-4</v>
      </c>
      <c r="I23" s="63">
        <v>0</v>
      </c>
      <c r="J23" s="64">
        <v>0</v>
      </c>
      <c r="K23" s="65">
        <f>K24</f>
        <v>66.533333333333331</v>
      </c>
      <c r="L23" s="64">
        <f>Q$4*60</f>
        <v>4422.2222222222226</v>
      </c>
      <c r="M23" s="65">
        <v>0</v>
      </c>
      <c r="N23" s="64">
        <f>M$7*60</f>
        <v>900</v>
      </c>
      <c r="O23" s="65">
        <f>(Q$4*60*M$6)/L23*K23+M$7*60/N23*M23</f>
        <v>399.2</v>
      </c>
      <c r="P23" s="64">
        <f>(Q$4*M$6+M$7)*60-O23</f>
        <v>27034.133333333335</v>
      </c>
      <c r="Q23" s="102">
        <f>O23/(O23+P23)</f>
        <v>1.455164034021871E-2</v>
      </c>
      <c r="R23" s="65">
        <f>F23*O23</f>
        <v>0.2495</v>
      </c>
      <c r="S23" s="63">
        <f>J23*P23</f>
        <v>0</v>
      </c>
      <c r="T23" s="64">
        <f>((S23+R23)/(Q$4*M$6+M$7)/60)*Z23</f>
        <v>9.0947752126366944E-6</v>
      </c>
      <c r="U23" s="66">
        <f t="shared" si="0"/>
        <v>3.5027319601903701E-6</v>
      </c>
      <c r="V23" s="305"/>
      <c r="W23" s="306"/>
      <c r="X23" s="307"/>
      <c r="Y23" s="308"/>
      <c r="Z23">
        <v>1</v>
      </c>
    </row>
    <row r="24" spans="1:28" x14ac:dyDescent="0.25">
      <c r="A24" s="47">
        <f t="shared" si="1"/>
        <v>10</v>
      </c>
      <c r="B24" s="47" t="s">
        <v>189</v>
      </c>
      <c r="C24" s="14">
        <v>3</v>
      </c>
      <c r="D24" s="62">
        <f>$D$10</f>
        <v>10.8</v>
      </c>
      <c r="E24" s="68">
        <v>0.17778051547116699</v>
      </c>
      <c r="F24" s="68">
        <v>2.1796482560090205</v>
      </c>
      <c r="G24" s="68">
        <v>0.16670106945424101</v>
      </c>
      <c r="H24" s="68">
        <v>1.5516734546587683</v>
      </c>
      <c r="I24" s="68">
        <v>1.0000000000000001E-9</v>
      </c>
      <c r="J24" s="69">
        <f>I24*15</f>
        <v>1.5000000000000002E-8</v>
      </c>
      <c r="K24" s="70">
        <f>40+L24*0.006</f>
        <v>66.533333333333331</v>
      </c>
      <c r="L24" s="69">
        <f>Q$4*60</f>
        <v>4422.2222222222226</v>
      </c>
      <c r="M24" s="70">
        <v>0</v>
      </c>
      <c r="N24" s="69">
        <f>M$7*60</f>
        <v>900</v>
      </c>
      <c r="O24" s="70">
        <f>(Q$4*60*M$6)/L24*K24+M$7*60/N24*M24</f>
        <v>399.2</v>
      </c>
      <c r="P24" s="69">
        <f>(Q$4*M$6+M$7)*60-O24</f>
        <v>27034.133333333335</v>
      </c>
      <c r="Q24" s="103">
        <f>O24/(O24+P24)</f>
        <v>1.455164034021871E-2</v>
      </c>
      <c r="R24" s="70">
        <f>F24*O24</f>
        <v>870.11558379880091</v>
      </c>
      <c r="S24" s="68">
        <f>J24*P24</f>
        <v>4.0551200000000007E-4</v>
      </c>
      <c r="T24" s="69">
        <f>((S24+R24)/(Q$4*M$6+M$7)/60)*Z24</f>
        <v>3.1717472271353617E-2</v>
      </c>
      <c r="U24" s="73">
        <f t="shared" si="0"/>
        <v>1.2215563466258936E-2</v>
      </c>
      <c r="V24" s="309"/>
      <c r="W24" s="310"/>
      <c r="X24" s="311"/>
      <c r="Y24" s="312"/>
      <c r="Z24">
        <v>1</v>
      </c>
    </row>
    <row r="25" spans="1:28" x14ac:dyDescent="0.25">
      <c r="A25" s="47">
        <f t="shared" si="1"/>
        <v>11</v>
      </c>
      <c r="B25" s="47" t="s">
        <v>56</v>
      </c>
      <c r="C25" s="14">
        <v>2</v>
      </c>
      <c r="D25" s="62">
        <f>$D$10</f>
        <v>10.8</v>
      </c>
      <c r="E25" s="68">
        <v>3.4000000000000002E-2</v>
      </c>
      <c r="F25" s="68">
        <f>D25*E25</f>
        <v>0.36720000000000003</v>
      </c>
      <c r="G25" s="68"/>
      <c r="H25" s="68"/>
      <c r="I25" s="68">
        <v>0</v>
      </c>
      <c r="J25" s="69">
        <v>0</v>
      </c>
      <c r="K25" s="70">
        <f>L25*0.5*3.3/4</f>
        <v>1824.1666666666667</v>
      </c>
      <c r="L25" s="69">
        <f>Q$4*60</f>
        <v>4422.2222222222226</v>
      </c>
      <c r="M25" s="70">
        <v>0</v>
      </c>
      <c r="N25" s="69">
        <f>M$7*60</f>
        <v>900</v>
      </c>
      <c r="O25" s="70">
        <f>(Q$4*60*M$6)/L25*K25+M$7*60/N25*M25</f>
        <v>10945</v>
      </c>
      <c r="P25" s="69">
        <f>(Q$4*M$6+M$7)*60-O25</f>
        <v>16488.333333333336</v>
      </c>
      <c r="Q25" s="103">
        <f>O25/(O25+P25)</f>
        <v>0.39896719319562574</v>
      </c>
      <c r="R25" s="70">
        <f>F25*O25</f>
        <v>4019.0040000000004</v>
      </c>
      <c r="S25" s="68">
        <f>J25*P25</f>
        <v>0</v>
      </c>
      <c r="T25" s="69">
        <f>((S25+R25)/(Q$4*M$6+M$7)/60)*Z25</f>
        <v>0.14650075334143378</v>
      </c>
      <c r="U25" s="71">
        <f t="shared" si="0"/>
        <v>5.6422820677085928E-2</v>
      </c>
      <c r="V25" s="309"/>
      <c r="W25" s="310"/>
      <c r="X25" s="311"/>
      <c r="Y25" s="312"/>
      <c r="Z25">
        <f>IF('Glider Parameters'!$E$22="Coastal",G$122,G$123)*'Glider Parameters'!F19</f>
        <v>1</v>
      </c>
    </row>
    <row r="26" spans="1:28" x14ac:dyDescent="0.25">
      <c r="A26" s="47">
        <f t="shared" si="1"/>
        <v>12</v>
      </c>
      <c r="B26" s="47" t="s">
        <v>190</v>
      </c>
      <c r="C26" s="14">
        <v>2</v>
      </c>
      <c r="D26" s="62">
        <f>$D$10</f>
        <v>10.8</v>
      </c>
      <c r="E26" s="68">
        <v>0.14000000000000001</v>
      </c>
      <c r="F26" s="68">
        <v>70</v>
      </c>
      <c r="G26" s="68"/>
      <c r="H26" s="68"/>
      <c r="I26" s="68">
        <v>2.7999999999999999E-6</v>
      </c>
      <c r="J26" s="69">
        <f>I26*13</f>
        <v>3.6399999999999997E-5</v>
      </c>
      <c r="K26" s="70">
        <v>1.6E-2</v>
      </c>
      <c r="L26" s="69">
        <v>8</v>
      </c>
      <c r="M26" s="70">
        <f>0.016*360/60/M$7</f>
        <v>6.4000000000000003E-3</v>
      </c>
      <c r="N26" s="69">
        <v>8</v>
      </c>
      <c r="O26" s="70">
        <f>(Q$4*60*M$6)/L26*K26+M$7*60/N26*M26</f>
        <v>53.786666666666669</v>
      </c>
      <c r="P26" s="69">
        <f>(Q$4*M$6+M$7)*60-O26</f>
        <v>27379.546666666669</v>
      </c>
      <c r="Q26" s="103">
        <f>O26/(O26+P26)</f>
        <v>1.9606318347509112E-3</v>
      </c>
      <c r="R26" s="70">
        <f>F26*O26</f>
        <v>3765.0666666666666</v>
      </c>
      <c r="S26" s="68">
        <f>J26*P26</f>
        <v>0.99661549866666665</v>
      </c>
      <c r="T26" s="69">
        <f>((S26+R26)/(Q$4*M$6+M$7)/60)*Z26</f>
        <v>0</v>
      </c>
      <c r="U26" s="71">
        <f t="shared" si="0"/>
        <v>0</v>
      </c>
      <c r="V26" s="309"/>
      <c r="W26" s="310"/>
      <c r="X26" s="311"/>
      <c r="Y26" s="312"/>
      <c r="Z26">
        <f>'Glider Parameters'!F18</f>
        <v>0</v>
      </c>
    </row>
    <row r="27" spans="1:28" x14ac:dyDescent="0.25">
      <c r="A27" s="47">
        <f t="shared" si="1"/>
        <v>13</v>
      </c>
      <c r="B27" s="47" t="s">
        <v>191</v>
      </c>
      <c r="C27" s="14">
        <v>2</v>
      </c>
      <c r="D27" s="87"/>
      <c r="E27" s="88"/>
      <c r="F27" s="88"/>
      <c r="G27" s="88"/>
      <c r="H27" s="88"/>
      <c r="I27" s="88"/>
      <c r="J27" s="89"/>
      <c r="K27" s="90"/>
      <c r="L27" s="89"/>
      <c r="M27" s="90"/>
      <c r="N27" s="89"/>
      <c r="O27" s="90"/>
      <c r="P27" s="89"/>
      <c r="Q27" s="101"/>
      <c r="R27" s="90">
        <f>SUM(R28:R29)</f>
        <v>873.22750523211573</v>
      </c>
      <c r="S27" s="88">
        <f>SUM(S28:S29)</f>
        <v>0</v>
      </c>
      <c r="T27" s="89">
        <f>SUM(T28:T29)</f>
        <v>3.1830893264840183E-2</v>
      </c>
      <c r="U27" s="91">
        <f t="shared" si="0"/>
        <v>1.2259246056488317E-2</v>
      </c>
      <c r="V27" s="183"/>
      <c r="W27" s="184"/>
      <c r="X27" s="185"/>
      <c r="Y27" s="186"/>
      <c r="Z27">
        <v>1</v>
      </c>
    </row>
    <row r="28" spans="1:28" x14ac:dyDescent="0.25">
      <c r="A28" s="47">
        <f t="shared" si="1"/>
        <v>14</v>
      </c>
      <c r="B28" s="47" t="s">
        <v>192</v>
      </c>
      <c r="C28" s="14">
        <v>3</v>
      </c>
      <c r="D28" s="62">
        <f>$D$10</f>
        <v>10.8</v>
      </c>
      <c r="E28" s="63">
        <f>Q$6/365/2/24/3600/D28*0.075</f>
        <v>2.9473049319296463E-3</v>
      </c>
      <c r="F28" s="63">
        <f>E28*D28</f>
        <v>3.1830893264840183E-2</v>
      </c>
      <c r="G28" s="63"/>
      <c r="H28" s="63"/>
      <c r="I28" s="63"/>
      <c r="J28" s="64"/>
      <c r="K28" s="65">
        <f>L28</f>
        <v>4422.2222222222226</v>
      </c>
      <c r="L28" s="64">
        <f>Q$4*60</f>
        <v>4422.2222222222226</v>
      </c>
      <c r="M28" s="65">
        <f>N28</f>
        <v>900</v>
      </c>
      <c r="N28" s="64">
        <f>M$7*60</f>
        <v>900</v>
      </c>
      <c r="O28" s="65">
        <f>(Q$4*60*M$6)/L28*K28+M$7*60/N28*M28</f>
        <v>27433.333333333336</v>
      </c>
      <c r="P28" s="64">
        <f>(Q$4*M$6+M$7)*60-O28</f>
        <v>0</v>
      </c>
      <c r="Q28" s="102">
        <f>O28/(O28+P28)</f>
        <v>1</v>
      </c>
      <c r="R28" s="65">
        <f>F28*O28</f>
        <v>873.22750523211573</v>
      </c>
      <c r="S28" s="63">
        <f>J28*P28</f>
        <v>0</v>
      </c>
      <c r="T28" s="64">
        <f>((S28+R28)/(Q$4*M$6+M$7)/60)*Z28</f>
        <v>3.1830893264840183E-2</v>
      </c>
      <c r="U28" s="74">
        <f t="shared" si="0"/>
        <v>1.2259246056488317E-2</v>
      </c>
      <c r="V28" s="305"/>
      <c r="W28" s="306"/>
      <c r="X28" s="307"/>
      <c r="Y28" s="308"/>
      <c r="Z28">
        <v>1</v>
      </c>
    </row>
    <row r="29" spans="1:28" x14ac:dyDescent="0.25">
      <c r="A29" s="47">
        <f t="shared" si="1"/>
        <v>15</v>
      </c>
      <c r="B29" s="47" t="s">
        <v>193</v>
      </c>
      <c r="C29" s="14">
        <v>3</v>
      </c>
      <c r="D29" s="65">
        <f>IF(I4=0,0,IF(T2="a",100/I4*E29,1.35/I4*E29))</f>
        <v>0</v>
      </c>
      <c r="E29" s="63">
        <f>E19</f>
        <v>2.8719999999999999</v>
      </c>
      <c r="F29" s="63">
        <f>E29*D29</f>
        <v>0</v>
      </c>
      <c r="G29" s="63"/>
      <c r="H29" s="63"/>
      <c r="I29" s="63"/>
      <c r="J29" s="64"/>
      <c r="K29" s="65">
        <f>K19</f>
        <v>166.49534528028104</v>
      </c>
      <c r="L29" s="64">
        <f>Q$4*60</f>
        <v>4422.2222222222226</v>
      </c>
      <c r="M29" s="65">
        <f>M19</f>
        <v>0</v>
      </c>
      <c r="N29" s="64">
        <f>M$7*60</f>
        <v>900</v>
      </c>
      <c r="O29" s="65">
        <f>(Q$4*60*M$6)/L29*K29+M$7*60/N29*M29</f>
        <v>998.9720716816862</v>
      </c>
      <c r="P29" s="64">
        <f>(Q$4*M$6+M$7)*60-O29</f>
        <v>26434.361261651651</v>
      </c>
      <c r="Q29" s="102">
        <f>O29/(O29+P29)</f>
        <v>3.6414534812212129E-2</v>
      </c>
      <c r="R29" s="65">
        <f>F29*O29</f>
        <v>0</v>
      </c>
      <c r="S29" s="63">
        <f>J29*P29</f>
        <v>0</v>
      </c>
      <c r="T29" s="64">
        <f>((S29+R29)/(Q$4*M$6+M$7)/60)*Z29</f>
        <v>0</v>
      </c>
      <c r="U29" s="74">
        <f t="shared" si="0"/>
        <v>0</v>
      </c>
      <c r="V29" s="305"/>
      <c r="W29" s="306"/>
      <c r="X29" s="307"/>
      <c r="Y29" s="308"/>
      <c r="Z29">
        <v>1</v>
      </c>
    </row>
    <row r="30" spans="1:28" x14ac:dyDescent="0.25">
      <c r="A30" s="47">
        <f t="shared" si="1"/>
        <v>16</v>
      </c>
      <c r="B30" s="47" t="s">
        <v>194</v>
      </c>
      <c r="C30" s="14">
        <v>2</v>
      </c>
      <c r="D30" s="67">
        <v>5</v>
      </c>
      <c r="E30" s="68">
        <f>D30/100000</f>
        <v>5.0000000000000002E-5</v>
      </c>
      <c r="F30" s="68">
        <f>E30*D30</f>
        <v>2.5000000000000001E-4</v>
      </c>
      <c r="G30" s="68"/>
      <c r="H30" s="68"/>
      <c r="I30" s="68"/>
      <c r="J30" s="69"/>
      <c r="K30" s="70">
        <v>6.5000000000000002E-2</v>
      </c>
      <c r="L30" s="69">
        <v>4</v>
      </c>
      <c r="M30" s="70">
        <v>6.5000000000000002E-2</v>
      </c>
      <c r="N30" s="69">
        <v>4</v>
      </c>
      <c r="O30" s="70">
        <f>(Q$4*60*M$6)/L30*K30+M$7*60/N30*M30</f>
        <v>445.79166666666674</v>
      </c>
      <c r="P30" s="69">
        <f>(Q$4*M$6+M$7)*60-O30</f>
        <v>26987.541666666668</v>
      </c>
      <c r="Q30" s="103">
        <f>O30/(O30+P30)</f>
        <v>1.6250000000000001E-2</v>
      </c>
      <c r="R30" s="70">
        <f>F30*O30</f>
        <v>0.11144791666666669</v>
      </c>
      <c r="S30" s="68">
        <f>J30*P30</f>
        <v>0</v>
      </c>
      <c r="T30" s="69">
        <f>((S30+R30)/(Q$4*M$6+M$7)/60)*Z30</f>
        <v>4.0625000000000005E-6</v>
      </c>
      <c r="U30" s="71">
        <f t="shared" si="0"/>
        <v>1.5646179543285227E-6</v>
      </c>
      <c r="V30" s="309"/>
      <c r="W30" s="310"/>
      <c r="X30" s="311"/>
      <c r="Y30" s="312"/>
      <c r="Z30">
        <v>1</v>
      </c>
    </row>
    <row r="31" spans="1:28" x14ac:dyDescent="0.25">
      <c r="A31" s="47">
        <f t="shared" si="1"/>
        <v>17</v>
      </c>
      <c r="B31" s="47" t="s">
        <v>195</v>
      </c>
      <c r="C31" s="14">
        <v>1</v>
      </c>
      <c r="D31" s="57"/>
      <c r="E31" s="58"/>
      <c r="F31" s="58"/>
      <c r="G31" s="58"/>
      <c r="H31" s="58"/>
      <c r="I31" s="58"/>
      <c r="J31" s="59"/>
      <c r="K31" s="60"/>
      <c r="L31" s="59"/>
      <c r="M31" s="60"/>
      <c r="N31" s="59"/>
      <c r="O31" s="60"/>
      <c r="P31" s="59"/>
      <c r="Q31" s="100"/>
      <c r="R31" s="60">
        <f>SUM(R32,R36:R41,R44)</f>
        <v>28744.924562333566</v>
      </c>
      <c r="S31" s="58">
        <f>SUM(S32,S36:S41,S44)</f>
        <v>0.16200000000000001</v>
      </c>
      <c r="T31" s="59">
        <f>SUM(T32,T36:T41,T44)</f>
        <v>0.94335916995140567</v>
      </c>
      <c r="U31" s="75">
        <f t="shared" si="0"/>
        <v>0.36332226330742678</v>
      </c>
      <c r="V31" s="301"/>
      <c r="W31" s="302"/>
      <c r="X31" s="303">
        <f xml:space="preserve"> SUM(X33:X44)</f>
        <v>13.341900723907077</v>
      </c>
      <c r="Y31" s="304">
        <f xml:space="preserve"> SUM(Y33:Y44)</f>
        <v>1592</v>
      </c>
      <c r="Z31">
        <v>1</v>
      </c>
    </row>
    <row r="32" spans="1:28" x14ac:dyDescent="0.25">
      <c r="A32" s="47">
        <f t="shared" si="1"/>
        <v>18</v>
      </c>
      <c r="B32" s="47" t="s">
        <v>196</v>
      </c>
      <c r="C32" s="14">
        <v>2</v>
      </c>
      <c r="D32" s="87"/>
      <c r="E32" s="88"/>
      <c r="F32" s="88"/>
      <c r="G32" s="88"/>
      <c r="H32" s="88"/>
      <c r="I32" s="88"/>
      <c r="J32" s="89"/>
      <c r="K32" s="90"/>
      <c r="L32" s="89"/>
      <c r="M32" s="90"/>
      <c r="N32" s="89"/>
      <c r="O32" s="90"/>
      <c r="P32" s="89"/>
      <c r="Q32" s="101"/>
      <c r="R32" s="90">
        <f>SUM(R33:R35)</f>
        <v>5731.2000000000016</v>
      </c>
      <c r="S32" s="88">
        <f>SUM(S33:S35)</f>
        <v>0</v>
      </c>
      <c r="T32" s="89">
        <f>SUM(T33:T35)</f>
        <v>0.10445686512758202</v>
      </c>
      <c r="U32" s="91">
        <f t="shared" si="0"/>
        <v>4.0230175170827755E-2</v>
      </c>
      <c r="V32" s="183"/>
      <c r="W32" s="184"/>
      <c r="X32" s="185"/>
      <c r="Y32" s="186"/>
      <c r="Z32">
        <v>1</v>
      </c>
    </row>
    <row r="33" spans="1:28" x14ac:dyDescent="0.25">
      <c r="A33" s="47">
        <f t="shared" si="1"/>
        <v>19</v>
      </c>
      <c r="B33" s="47" t="s">
        <v>197</v>
      </c>
      <c r="C33" s="14">
        <v>3</v>
      </c>
      <c r="D33" s="62">
        <f>$D$10</f>
        <v>10.8</v>
      </c>
      <c r="E33" s="68">
        <v>4.5999999999999999E-3</v>
      </c>
      <c r="F33" s="68">
        <f t="shared" ref="F33:F40" si="2">D33*E33</f>
        <v>4.9680000000000002E-2</v>
      </c>
      <c r="G33" s="68"/>
      <c r="H33" s="68"/>
      <c r="I33" s="68"/>
      <c r="J33" s="69"/>
      <c r="K33" s="70">
        <f>MAX(K34,K36:K38)</f>
        <v>4422.2222222222226</v>
      </c>
      <c r="L33" s="69">
        <f t="shared" ref="L33:L44" si="3">Q$4*60</f>
        <v>4422.2222222222226</v>
      </c>
      <c r="M33" s="70">
        <v>0</v>
      </c>
      <c r="N33" s="69">
        <f t="shared" ref="N33:N44" si="4">M$7*60</f>
        <v>900</v>
      </c>
      <c r="O33" s="70">
        <f t="shared" ref="O33:O44" si="5">(Q$4*60*M$6)/L33*K33+M$7*60/N33*M33</f>
        <v>26533.333333333336</v>
      </c>
      <c r="P33" s="69">
        <f t="shared" ref="P33:P44" si="6">(Q$4*M$6+M$7)*60-O33</f>
        <v>900</v>
      </c>
      <c r="Q33" s="103">
        <f t="shared" ref="Q33:Q44" si="7">O33/(O33+P33)</f>
        <v>0.96719319562575945</v>
      </c>
      <c r="R33" s="70">
        <f t="shared" ref="R33:R44" si="8">F33*O33</f>
        <v>1318.1760000000002</v>
      </c>
      <c r="S33" s="68">
        <f t="shared" ref="S33:S44" si="9">J33*P33</f>
        <v>0</v>
      </c>
      <c r="T33" s="69">
        <f t="shared" ref="T33:T44" si="10">((S33+R33)/(Q$4*M$6+M$7)/60)*Z33</f>
        <v>2.4025078979343865E-2</v>
      </c>
      <c r="U33" s="73">
        <f t="shared" si="0"/>
        <v>9.2529402892903845E-3</v>
      </c>
      <c r="V33" s="309"/>
      <c r="W33" s="310"/>
      <c r="X33" s="311"/>
      <c r="Y33" s="312"/>
      <c r="Z33">
        <f>'Glider Parameters'!F37</f>
        <v>0.5</v>
      </c>
    </row>
    <row r="34" spans="1:28" x14ac:dyDescent="0.25">
      <c r="A34" s="47">
        <f t="shared" si="1"/>
        <v>20</v>
      </c>
      <c r="B34" s="47" t="s">
        <v>198</v>
      </c>
      <c r="C34" s="14">
        <v>3</v>
      </c>
      <c r="D34" s="62">
        <f>$D$10</f>
        <v>10.8</v>
      </c>
      <c r="E34" s="68">
        <v>1.8100000000000002E-2</v>
      </c>
      <c r="F34" s="68">
        <f t="shared" si="2"/>
        <v>0.19548000000000004</v>
      </c>
      <c r="G34" s="68"/>
      <c r="H34" s="68"/>
      <c r="I34" s="68"/>
      <c r="J34" s="69"/>
      <c r="K34" s="70">
        <f>L34*'Glider Parameters'!F38</f>
        <v>0</v>
      </c>
      <c r="L34" s="69">
        <f t="shared" si="3"/>
        <v>4422.2222222222226</v>
      </c>
      <c r="M34" s="70">
        <v>0</v>
      </c>
      <c r="N34" s="69">
        <f t="shared" si="4"/>
        <v>900</v>
      </c>
      <c r="O34" s="70">
        <f t="shared" si="5"/>
        <v>0</v>
      </c>
      <c r="P34" s="69">
        <f t="shared" si="6"/>
        <v>27433.333333333336</v>
      </c>
      <c r="Q34" s="103">
        <f t="shared" si="7"/>
        <v>0</v>
      </c>
      <c r="R34" s="70">
        <f t="shared" si="8"/>
        <v>0</v>
      </c>
      <c r="S34" s="68">
        <f t="shared" si="9"/>
        <v>0</v>
      </c>
      <c r="T34" s="69">
        <f t="shared" si="10"/>
        <v>0</v>
      </c>
      <c r="U34" s="73">
        <f t="shared" si="0"/>
        <v>0</v>
      </c>
      <c r="V34" s="309"/>
      <c r="W34" s="310"/>
      <c r="X34" s="311"/>
      <c r="Y34" s="312"/>
      <c r="Z34">
        <f>'Glider Parameters'!F38</f>
        <v>0</v>
      </c>
      <c r="AA34">
        <v>0</v>
      </c>
    </row>
    <row r="35" spans="1:28" x14ac:dyDescent="0.25">
      <c r="A35" s="47">
        <f t="shared" si="1"/>
        <v>21</v>
      </c>
      <c r="B35" s="47" t="s">
        <v>83</v>
      </c>
      <c r="C35" s="14">
        <v>3</v>
      </c>
      <c r="D35" s="62">
        <f>$D$10</f>
        <v>10.8</v>
      </c>
      <c r="E35" s="68">
        <v>1.54E-2</v>
      </c>
      <c r="F35" s="68">
        <f t="shared" si="2"/>
        <v>0.16632000000000002</v>
      </c>
      <c r="G35" s="68"/>
      <c r="H35" s="68"/>
      <c r="I35" s="68"/>
      <c r="J35" s="69"/>
      <c r="K35" s="70">
        <f>MAX(K33,K34)</f>
        <v>4422.2222222222226</v>
      </c>
      <c r="L35" s="69">
        <f t="shared" si="3"/>
        <v>4422.2222222222226</v>
      </c>
      <c r="M35" s="70">
        <v>0</v>
      </c>
      <c r="N35" s="69">
        <f t="shared" si="4"/>
        <v>900</v>
      </c>
      <c r="O35" s="70">
        <f t="shared" si="5"/>
        <v>26533.333333333336</v>
      </c>
      <c r="P35" s="69">
        <f t="shared" si="6"/>
        <v>900</v>
      </c>
      <c r="Q35" s="103">
        <f t="shared" si="7"/>
        <v>0.96719319562575945</v>
      </c>
      <c r="R35" s="70">
        <f t="shared" si="8"/>
        <v>4413.0240000000013</v>
      </c>
      <c r="S35" s="68">
        <f t="shared" si="9"/>
        <v>0</v>
      </c>
      <c r="T35" s="69">
        <f t="shared" si="10"/>
        <v>8.0431786148238163E-2</v>
      </c>
      <c r="U35" s="73">
        <f t="shared" si="0"/>
        <v>3.0977234881537374E-2</v>
      </c>
      <c r="V35" s="309"/>
      <c r="W35" s="310"/>
      <c r="X35" s="311"/>
      <c r="Y35" s="312"/>
      <c r="Z35">
        <f>'Glider Parameters'!F39</f>
        <v>0.5</v>
      </c>
      <c r="AA35" t="s">
        <v>199</v>
      </c>
    </row>
    <row r="36" spans="1:28" x14ac:dyDescent="0.25">
      <c r="A36" s="47">
        <f>A34+1</f>
        <v>21</v>
      </c>
      <c r="B36" s="47" t="s">
        <v>200</v>
      </c>
      <c r="C36" s="14">
        <v>2</v>
      </c>
      <c r="D36" s="67">
        <v>5</v>
      </c>
      <c r="E36" s="68">
        <v>0.02</v>
      </c>
      <c r="F36" s="68">
        <f>D36*E36</f>
        <v>0.1</v>
      </c>
      <c r="G36" s="68"/>
      <c r="H36" s="68"/>
      <c r="I36" s="68"/>
      <c r="J36" s="69"/>
      <c r="K36" s="70">
        <f>L36*'Glider Parameters'!F40</f>
        <v>4422.2222222222226</v>
      </c>
      <c r="L36" s="69">
        <f>Q$4*60</f>
        <v>4422.2222222222226</v>
      </c>
      <c r="M36" s="70">
        <v>0</v>
      </c>
      <c r="N36" s="69">
        <f t="shared" si="4"/>
        <v>900</v>
      </c>
      <c r="O36" s="70">
        <f>(Q$4*60*M$6)/L36*K36+M$7*60/N36*M36</f>
        <v>26533.333333333336</v>
      </c>
      <c r="P36" s="69">
        <f>(Q$4*M$6+M$7)*60-O36</f>
        <v>900</v>
      </c>
      <c r="Q36" s="103">
        <f>O36/(O36+P36)</f>
        <v>0.96719319562575945</v>
      </c>
      <c r="R36" s="70">
        <f>F36*O36</f>
        <v>2653.3333333333339</v>
      </c>
      <c r="S36" s="68">
        <f>J36*P36</f>
        <v>0</v>
      </c>
      <c r="T36" s="69">
        <f>((S36+R36)/(Q$4*M$6+M$7)/60)*Z36</f>
        <v>9.6719319562575956E-2</v>
      </c>
      <c r="U36" s="73">
        <f t="shared" si="0"/>
        <v>3.7250162195210892E-2</v>
      </c>
      <c r="V36" s="309">
        <v>40</v>
      </c>
      <c r="W36" s="310">
        <v>1</v>
      </c>
      <c r="X36" s="311">
        <f>Y36 / Q7</f>
        <v>8.8946004826047194</v>
      </c>
      <c r="Y36" s="312">
        <f xml:space="preserve"> O36*V36/(1000*W36)</f>
        <v>1061.3333333333335</v>
      </c>
      <c r="Z36">
        <f>'Glider Parameters'!F40</f>
        <v>1</v>
      </c>
    </row>
    <row r="37" spans="1:28" x14ac:dyDescent="0.25">
      <c r="A37" s="47">
        <f>A35+1</f>
        <v>22</v>
      </c>
      <c r="B37" s="159" t="s">
        <v>201</v>
      </c>
      <c r="C37" s="14">
        <v>2</v>
      </c>
      <c r="D37" s="62">
        <f>$D$10</f>
        <v>10.8</v>
      </c>
      <c r="E37" s="68">
        <v>0.185</v>
      </c>
      <c r="F37" s="68">
        <f t="shared" si="2"/>
        <v>1.998</v>
      </c>
      <c r="G37" s="68"/>
      <c r="H37" s="68"/>
      <c r="I37" s="68"/>
      <c r="J37" s="69"/>
      <c r="K37" s="70">
        <f>L37*'Glider Parameters'!F41</f>
        <v>0</v>
      </c>
      <c r="L37" s="69">
        <f t="shared" si="3"/>
        <v>4422.2222222222226</v>
      </c>
      <c r="M37" s="70">
        <v>0</v>
      </c>
      <c r="N37" s="69">
        <f t="shared" si="4"/>
        <v>900</v>
      </c>
      <c r="O37" s="70">
        <f t="shared" si="5"/>
        <v>0</v>
      </c>
      <c r="P37" s="69">
        <f t="shared" si="6"/>
        <v>27433.333333333336</v>
      </c>
      <c r="Q37" s="103">
        <f t="shared" si="7"/>
        <v>0</v>
      </c>
      <c r="R37" s="70">
        <f t="shared" si="8"/>
        <v>0</v>
      </c>
      <c r="S37" s="68">
        <f t="shared" si="9"/>
        <v>0</v>
      </c>
      <c r="T37" s="69">
        <f t="shared" si="10"/>
        <v>0</v>
      </c>
      <c r="U37" s="73">
        <f t="shared" si="0"/>
        <v>0</v>
      </c>
      <c r="V37" s="309">
        <v>819</v>
      </c>
      <c r="W37" s="310">
        <v>30</v>
      </c>
      <c r="X37" s="311">
        <f xml:space="preserve"> Y37 / Q7</f>
        <v>0</v>
      </c>
      <c r="Y37" s="312">
        <f xml:space="preserve"> O37*V37/(1000*W37)</f>
        <v>0</v>
      </c>
      <c r="Z37">
        <f>'Glider Parameters'!F41</f>
        <v>0</v>
      </c>
    </row>
    <row r="38" spans="1:28" x14ac:dyDescent="0.25">
      <c r="A38" s="47">
        <f t="shared" si="1"/>
        <v>23</v>
      </c>
      <c r="B38" s="47" t="s">
        <v>86</v>
      </c>
      <c r="C38" s="14">
        <v>2</v>
      </c>
      <c r="D38" s="62">
        <f>$D$10</f>
        <v>10.8</v>
      </c>
      <c r="E38" s="68">
        <v>4.9000000000000002E-2</v>
      </c>
      <c r="F38" s="68">
        <f t="shared" si="2"/>
        <v>0.5292</v>
      </c>
      <c r="G38" s="68"/>
      <c r="H38" s="68"/>
      <c r="I38" s="68"/>
      <c r="J38" s="69"/>
      <c r="K38" s="70">
        <f>L38*'Glider Parameters'!F42</f>
        <v>4422.2222222222226</v>
      </c>
      <c r="L38" s="69">
        <f t="shared" si="3"/>
        <v>4422.2222222222226</v>
      </c>
      <c r="M38" s="70">
        <v>0</v>
      </c>
      <c r="N38" s="69">
        <f t="shared" si="4"/>
        <v>900</v>
      </c>
      <c r="O38" s="70">
        <f t="shared" si="5"/>
        <v>26533.333333333336</v>
      </c>
      <c r="P38" s="69">
        <f t="shared" si="6"/>
        <v>900</v>
      </c>
      <c r="Q38" s="103">
        <f t="shared" si="7"/>
        <v>0.96719319562575945</v>
      </c>
      <c r="R38" s="70">
        <f t="shared" si="8"/>
        <v>14041.44</v>
      </c>
      <c r="S38" s="68">
        <f t="shared" si="9"/>
        <v>0</v>
      </c>
      <c r="T38" s="69">
        <f t="shared" si="10"/>
        <v>0.51183863912515182</v>
      </c>
      <c r="U38" s="73">
        <f t="shared" si="0"/>
        <v>0.19712785833705598</v>
      </c>
      <c r="V38" s="309">
        <v>8</v>
      </c>
      <c r="W38" s="310">
        <v>1</v>
      </c>
      <c r="X38" s="187">
        <f xml:space="preserve"> Y38/Q7</f>
        <v>1.7789200965209435</v>
      </c>
      <c r="Y38" s="312">
        <f xml:space="preserve"> O38*V38/(1000*W38)</f>
        <v>212.26666666666668</v>
      </c>
      <c r="Z38">
        <f>'Glider Parameters'!F42</f>
        <v>1</v>
      </c>
    </row>
    <row r="39" spans="1:28" x14ac:dyDescent="0.25">
      <c r="A39" s="47">
        <f t="shared" si="1"/>
        <v>24</v>
      </c>
      <c r="B39" s="47" t="s">
        <v>202</v>
      </c>
      <c r="C39" s="14">
        <v>2</v>
      </c>
      <c r="D39" s="62">
        <f>$D$10</f>
        <v>10.8</v>
      </c>
      <c r="E39" s="68">
        <v>4.1700000000000001E-2</v>
      </c>
      <c r="F39" s="68">
        <f t="shared" si="2"/>
        <v>0.45036000000000004</v>
      </c>
      <c r="G39" s="68"/>
      <c r="H39" s="68"/>
      <c r="I39" s="68"/>
      <c r="J39" s="69"/>
      <c r="K39" s="70">
        <f>L39*'Glider Parameters'!F43</f>
        <v>0</v>
      </c>
      <c r="L39" s="69">
        <f t="shared" si="3"/>
        <v>4422.2222222222226</v>
      </c>
      <c r="M39" s="70">
        <v>0</v>
      </c>
      <c r="N39" s="69">
        <f t="shared" si="4"/>
        <v>900</v>
      </c>
      <c r="O39" s="70">
        <f t="shared" si="5"/>
        <v>0</v>
      </c>
      <c r="P39" s="69">
        <f t="shared" si="6"/>
        <v>27433.333333333336</v>
      </c>
      <c r="Q39" s="103">
        <f t="shared" si="7"/>
        <v>0</v>
      </c>
      <c r="R39" s="70">
        <f t="shared" si="8"/>
        <v>0</v>
      </c>
      <c r="S39" s="68">
        <f t="shared" si="9"/>
        <v>0</v>
      </c>
      <c r="T39" s="69">
        <f t="shared" si="10"/>
        <v>0</v>
      </c>
      <c r="U39" s="73">
        <f t="shared" si="0"/>
        <v>0</v>
      </c>
      <c r="V39" s="309"/>
      <c r="W39" s="310"/>
      <c r="X39" s="311"/>
      <c r="Y39" s="312"/>
      <c r="Z39">
        <f>'Glider Parameters'!F43</f>
        <v>0</v>
      </c>
    </row>
    <row r="40" spans="1:28" x14ac:dyDescent="0.25">
      <c r="A40" s="47">
        <f>A38+1</f>
        <v>24</v>
      </c>
      <c r="B40" s="47" t="s">
        <v>203</v>
      </c>
      <c r="C40" s="14">
        <v>2</v>
      </c>
      <c r="D40" s="62">
        <f>$D$10</f>
        <v>10.8</v>
      </c>
      <c r="E40" s="68">
        <v>0</v>
      </c>
      <c r="F40" s="68">
        <f t="shared" si="2"/>
        <v>0</v>
      </c>
      <c r="G40" s="68"/>
      <c r="H40" s="68"/>
      <c r="I40" s="68"/>
      <c r="J40" s="69"/>
      <c r="K40" s="70">
        <f>L40/(2-'Glider Parameters'!F$35)</f>
        <v>2211.1111111111113</v>
      </c>
      <c r="L40" s="69">
        <f t="shared" si="3"/>
        <v>4422.2222222222226</v>
      </c>
      <c r="M40" s="70">
        <v>0</v>
      </c>
      <c r="N40" s="69">
        <f t="shared" si="4"/>
        <v>900</v>
      </c>
      <c r="O40" s="70">
        <f t="shared" si="5"/>
        <v>13266.666666666668</v>
      </c>
      <c r="P40" s="69">
        <f t="shared" si="6"/>
        <v>14166.666666666668</v>
      </c>
      <c r="Q40" s="103">
        <f t="shared" si="7"/>
        <v>0.48359659781287972</v>
      </c>
      <c r="R40" s="70">
        <f t="shared" si="8"/>
        <v>0</v>
      </c>
      <c r="S40" s="68">
        <f t="shared" si="9"/>
        <v>0</v>
      </c>
      <c r="T40" s="69">
        <f t="shared" si="10"/>
        <v>0</v>
      </c>
      <c r="U40" s="73">
        <f t="shared" si="0"/>
        <v>0</v>
      </c>
      <c r="V40" s="309"/>
      <c r="W40" s="310"/>
      <c r="X40" s="311"/>
      <c r="Y40" s="312"/>
      <c r="Z40">
        <f>'Glider Parameters'!F44</f>
        <v>0</v>
      </c>
    </row>
    <row r="41" spans="1:28" x14ac:dyDescent="0.25">
      <c r="A41" s="47">
        <f t="shared" si="1"/>
        <v>25</v>
      </c>
      <c r="B41" s="47" t="s">
        <v>204</v>
      </c>
      <c r="C41" s="97">
        <v>2</v>
      </c>
      <c r="D41" s="87"/>
      <c r="E41" s="88"/>
      <c r="F41" s="88"/>
      <c r="G41" s="88"/>
      <c r="H41" s="88"/>
      <c r="I41" s="88"/>
      <c r="J41" s="89"/>
      <c r="K41" s="90"/>
      <c r="L41" s="89"/>
      <c r="M41" s="90"/>
      <c r="N41" s="89"/>
      <c r="O41" s="90"/>
      <c r="P41" s="89"/>
      <c r="Q41" s="101"/>
      <c r="R41" s="90">
        <f>SUM(R42:R43)</f>
        <v>2542.0049411764708</v>
      </c>
      <c r="S41" s="88">
        <f>SUM(S42:S43)</f>
        <v>0</v>
      </c>
      <c r="T41" s="89">
        <f>SUM(T42:T43)</f>
        <v>9.2661176470588233E-2</v>
      </c>
      <c r="U41" s="98">
        <f>T41/T$15</f>
        <v>3.5687222246175009E-2</v>
      </c>
      <c r="V41" s="313"/>
      <c r="W41" s="314"/>
      <c r="X41" s="315"/>
      <c r="Y41" s="316"/>
      <c r="Z41">
        <v>1</v>
      </c>
      <c r="AA41" t="s">
        <v>205</v>
      </c>
      <c r="AB41" t="s">
        <v>206</v>
      </c>
    </row>
    <row r="42" spans="1:28" x14ac:dyDescent="0.25">
      <c r="A42" s="47">
        <f t="shared" si="1"/>
        <v>26</v>
      </c>
      <c r="B42" s="47" t="s">
        <v>207</v>
      </c>
      <c r="C42" s="14">
        <v>3</v>
      </c>
      <c r="D42" s="62">
        <f>$D$10</f>
        <v>10.8</v>
      </c>
      <c r="E42" s="68">
        <f>E79*3.3/D42/0.85</f>
        <v>1.6859477124183005E-2</v>
      </c>
      <c r="F42" s="68">
        <f>D42*E42*0.5</f>
        <v>9.1041176470588236E-2</v>
      </c>
      <c r="G42" s="68"/>
      <c r="H42" s="68"/>
      <c r="I42" s="68"/>
      <c r="J42" s="69"/>
      <c r="K42" s="70">
        <f>L42</f>
        <v>4422.2222222222226</v>
      </c>
      <c r="L42" s="69">
        <f t="shared" si="3"/>
        <v>4422.2222222222226</v>
      </c>
      <c r="M42" s="70">
        <f>N42</f>
        <v>900</v>
      </c>
      <c r="N42" s="69">
        <f t="shared" si="4"/>
        <v>900</v>
      </c>
      <c r="O42" s="70">
        <f>(Q$4*60*M$6)/L42*K42+M$7*60/N42*M42</f>
        <v>27433.333333333336</v>
      </c>
      <c r="P42" s="69">
        <f>(Q$4*M$6+M$7)*60-O42</f>
        <v>0</v>
      </c>
      <c r="Q42" s="103">
        <f>O42/(O42+P42)</f>
        <v>1</v>
      </c>
      <c r="R42" s="70">
        <f>F42*O42</f>
        <v>2497.5629411764708</v>
      </c>
      <c r="S42" s="68">
        <f>J42*P42</f>
        <v>0</v>
      </c>
      <c r="T42" s="69">
        <f>((S42+R42)/(Q$4*M$6+M$7)/60)*Z42</f>
        <v>9.1041176470588236E-2</v>
      </c>
      <c r="U42" s="73">
        <f>T42/T$15</f>
        <v>3.5063300748079701E-2</v>
      </c>
      <c r="V42" s="309"/>
      <c r="W42" s="310"/>
      <c r="X42" s="311"/>
      <c r="Y42" s="312"/>
      <c r="Z42">
        <v>1</v>
      </c>
    </row>
    <row r="43" spans="1:28" x14ac:dyDescent="0.25">
      <c r="A43" s="47">
        <f t="shared" si="1"/>
        <v>27</v>
      </c>
      <c r="B43" s="47" t="s">
        <v>208</v>
      </c>
      <c r="C43" s="14">
        <v>3</v>
      </c>
      <c r="D43" s="62">
        <f>$D$10</f>
        <v>10.8</v>
      </c>
      <c r="E43" s="68">
        <v>1.4999999999999999E-4</v>
      </c>
      <c r="F43" s="68">
        <f>E43*D43</f>
        <v>1.6199999999999999E-3</v>
      </c>
      <c r="G43" s="68"/>
      <c r="H43" s="68"/>
      <c r="I43" s="68">
        <v>0</v>
      </c>
      <c r="J43" s="69">
        <v>0</v>
      </c>
      <c r="K43" s="70">
        <f>L43</f>
        <v>26533.333333333336</v>
      </c>
      <c r="L43" s="69">
        <f>Q$4*M$6*60</f>
        <v>26533.333333333336</v>
      </c>
      <c r="M43" s="70">
        <f>N43</f>
        <v>900</v>
      </c>
      <c r="N43" s="69">
        <f>M$7*60</f>
        <v>900</v>
      </c>
      <c r="O43" s="70">
        <f>(Q$4*60*M$6)/L43*K43+M$7*60/N43*M43</f>
        <v>27433.333333333336</v>
      </c>
      <c r="P43" s="69">
        <f>(Q$4*M$6+M$7)*60-O43</f>
        <v>0</v>
      </c>
      <c r="Q43" s="103">
        <f>O43/(O43+P43)</f>
        <v>1</v>
      </c>
      <c r="R43" s="70">
        <f>F43*O43</f>
        <v>44.442</v>
      </c>
      <c r="S43" s="68">
        <f>J43*P43</f>
        <v>0</v>
      </c>
      <c r="T43" s="69">
        <f>((S43+R43)/(Q$4*M$6+M$7)/60)*Z43</f>
        <v>1.6199999999999997E-3</v>
      </c>
      <c r="U43" s="71">
        <f>T43/T$15</f>
        <v>6.2392149809531222E-4</v>
      </c>
      <c r="V43" s="309"/>
      <c r="W43" s="310"/>
      <c r="X43" s="311"/>
      <c r="Y43" s="312"/>
      <c r="Z43">
        <v>1</v>
      </c>
    </row>
    <row r="44" spans="1:28" x14ac:dyDescent="0.25">
      <c r="A44" s="47">
        <f t="shared" si="1"/>
        <v>28</v>
      </c>
      <c r="B44" s="47" t="s">
        <v>209</v>
      </c>
      <c r="C44" s="14">
        <v>2</v>
      </c>
      <c r="D44" s="62">
        <f>$D$10</f>
        <v>10.8</v>
      </c>
      <c r="E44" s="68">
        <v>0.109498418772335</v>
      </c>
      <c r="F44" s="68">
        <v>0.14234722190290552</v>
      </c>
      <c r="G44" s="68">
        <f>13.4010944625407/1000</f>
        <v>1.3401094462540699E-2</v>
      </c>
      <c r="H44" s="68">
        <v>0.12995799693837423</v>
      </c>
      <c r="I44" s="68">
        <v>1.2E-5</v>
      </c>
      <c r="J44" s="69">
        <f>I44*15</f>
        <v>1.8000000000000001E-4</v>
      </c>
      <c r="K44" s="70">
        <f>L44*'Glider Parameters'!F36</f>
        <v>4422.2222222222226</v>
      </c>
      <c r="L44" s="69">
        <f t="shared" si="3"/>
        <v>4422.2222222222226</v>
      </c>
      <c r="M44" s="70">
        <v>0</v>
      </c>
      <c r="N44" s="69">
        <f t="shared" si="4"/>
        <v>900</v>
      </c>
      <c r="O44" s="70">
        <f t="shared" si="5"/>
        <v>26533.333333333336</v>
      </c>
      <c r="P44" s="69">
        <f t="shared" si="6"/>
        <v>900</v>
      </c>
      <c r="Q44" s="103">
        <f t="shared" si="7"/>
        <v>0.96719319562575945</v>
      </c>
      <c r="R44" s="70">
        <f t="shared" si="8"/>
        <v>3776.94628782376</v>
      </c>
      <c r="S44" s="68">
        <f t="shared" si="9"/>
        <v>0.16200000000000001</v>
      </c>
      <c r="T44" s="69">
        <f t="shared" si="10"/>
        <v>0.13768316966550762</v>
      </c>
      <c r="U44" s="73">
        <f t="shared" si="0"/>
        <v>5.3026845358157146E-2</v>
      </c>
      <c r="V44" s="309">
        <v>12</v>
      </c>
      <c r="W44" s="310">
        <v>1</v>
      </c>
      <c r="X44" s="311">
        <f xml:space="preserve"> Y44/Q7</f>
        <v>2.6683801447814153</v>
      </c>
      <c r="Y44" s="312">
        <f xml:space="preserve"> O44*V44/(1000*W44)</f>
        <v>318.39999999999998</v>
      </c>
      <c r="Z44">
        <f>'Glider Parameters'!F36</f>
        <v>1</v>
      </c>
    </row>
    <row r="45" spans="1:28" x14ac:dyDescent="0.25">
      <c r="A45" s="47">
        <f t="shared" si="1"/>
        <v>29</v>
      </c>
      <c r="B45" s="47" t="s">
        <v>210</v>
      </c>
      <c r="C45" s="14">
        <v>1</v>
      </c>
      <c r="D45" s="57"/>
      <c r="E45" s="58"/>
      <c r="F45" s="58"/>
      <c r="G45" s="58"/>
      <c r="H45" s="58"/>
      <c r="I45" s="58"/>
      <c r="J45" s="59"/>
      <c r="K45" s="60"/>
      <c r="L45" s="59"/>
      <c r="M45" s="60"/>
      <c r="N45" s="59"/>
      <c r="O45" s="60"/>
      <c r="P45" s="59"/>
      <c r="Q45" s="100"/>
      <c r="R45" s="60">
        <f>SUM(R47,R80:R82,R85:R89,R93:R99)</f>
        <v>6395.7320140254615</v>
      </c>
      <c r="S45" s="58">
        <f>SUM(S47,S80:S82,S85:S89,S93:S99)</f>
        <v>12.371049920000001</v>
      </c>
      <c r="T45" s="59">
        <f>SUM(T47,T80:T82,T85:T89,T93:T99)</f>
        <v>0.23120556393482844</v>
      </c>
      <c r="U45" s="61">
        <f t="shared" si="0"/>
        <v>8.9045754208759056E-2</v>
      </c>
      <c r="V45" s="301"/>
      <c r="W45" s="302"/>
      <c r="X45" s="303">
        <f>SUM(X46:X99)</f>
        <v>0</v>
      </c>
      <c r="Y45" s="304">
        <f>SUM(Y46:Y99)</f>
        <v>0</v>
      </c>
      <c r="Z45">
        <v>1</v>
      </c>
    </row>
    <row r="46" spans="1:28" x14ac:dyDescent="0.25">
      <c r="A46" s="47">
        <f t="shared" si="1"/>
        <v>30</v>
      </c>
      <c r="B46" s="47" t="s">
        <v>211</v>
      </c>
      <c r="C46" s="14">
        <v>2</v>
      </c>
      <c r="D46" s="62">
        <f>$D$10</f>
        <v>10.8</v>
      </c>
      <c r="E46" s="63">
        <f>I8/365/2/24/3600/D46/2*0.2*Z8</f>
        <v>0</v>
      </c>
      <c r="F46" s="63">
        <f>E46*D46</f>
        <v>0</v>
      </c>
      <c r="G46" s="63"/>
      <c r="H46" s="63"/>
      <c r="I46" s="63"/>
      <c r="J46" s="64"/>
      <c r="K46" s="65">
        <f>L46</f>
        <v>4422.2222222222226</v>
      </c>
      <c r="L46" s="64">
        <f>Q$4*60</f>
        <v>4422.2222222222226</v>
      </c>
      <c r="M46" s="65">
        <f>N46</f>
        <v>900</v>
      </c>
      <c r="N46" s="64">
        <f>M$7*60</f>
        <v>900</v>
      </c>
      <c r="O46" s="65">
        <f>(Q$4*60*M$6)/L46*K46+M$7*60/N46*M46</f>
        <v>27433.333333333336</v>
      </c>
      <c r="P46" s="64">
        <f>(Q$4*M$6+M$7)*60-O46</f>
        <v>0</v>
      </c>
      <c r="Q46" s="102">
        <f>O46/(O46+P46)</f>
        <v>1</v>
      </c>
      <c r="R46" s="65">
        <f>F46*O46</f>
        <v>0</v>
      </c>
      <c r="S46" s="63">
        <f>J46*P46</f>
        <v>0</v>
      </c>
      <c r="T46" s="64">
        <f>((S46+R46)/(Q$4*M$6+M$7)/60)*Z46</f>
        <v>0</v>
      </c>
      <c r="U46" s="74">
        <f t="shared" si="0"/>
        <v>0</v>
      </c>
      <c r="V46" s="305"/>
      <c r="W46" s="306"/>
      <c r="X46" s="307"/>
      <c r="Y46" s="308"/>
      <c r="Z46">
        <v>1</v>
      </c>
    </row>
    <row r="47" spans="1:28" x14ac:dyDescent="0.25">
      <c r="A47" s="47">
        <f t="shared" si="1"/>
        <v>31</v>
      </c>
      <c r="B47" s="47" t="s">
        <v>212</v>
      </c>
      <c r="C47" s="14">
        <v>2</v>
      </c>
      <c r="D47" s="87"/>
      <c r="E47" s="88"/>
      <c r="F47" s="88"/>
      <c r="G47" s="88"/>
      <c r="H47" s="88"/>
      <c r="I47" s="88"/>
      <c r="J47" s="89"/>
      <c r="K47" s="90"/>
      <c r="L47" s="89"/>
      <c r="M47" s="90"/>
      <c r="N47" s="89"/>
      <c r="O47" s="90"/>
      <c r="P47" s="89"/>
      <c r="Q47" s="101"/>
      <c r="R47" s="90">
        <f>SUM(R48:R53,R57:R79)</f>
        <v>5035.2145873587942</v>
      </c>
      <c r="S47" s="88">
        <f>SUM(S48:S53,S57:S79)</f>
        <v>12.370642400000001</v>
      </c>
      <c r="T47" s="89">
        <f>SUM(T48:T53,T57:T79)</f>
        <v>0.18399460132778106</v>
      </c>
      <c r="U47" s="91">
        <f t="shared" si="0"/>
        <v>7.0863078581406738E-2</v>
      </c>
      <c r="V47" s="183"/>
      <c r="W47" s="184"/>
      <c r="X47" s="185"/>
      <c r="Y47" s="186"/>
      <c r="Z47">
        <v>1</v>
      </c>
    </row>
    <row r="48" spans="1:28" x14ac:dyDescent="0.25">
      <c r="A48" s="47">
        <f t="shared" si="1"/>
        <v>32</v>
      </c>
      <c r="B48" s="47" t="s">
        <v>213</v>
      </c>
      <c r="C48" s="14">
        <v>3</v>
      </c>
      <c r="D48" s="67">
        <f>13-6.75</f>
        <v>6.25</v>
      </c>
      <c r="E48" s="68">
        <v>0.5</v>
      </c>
      <c r="F48" s="68">
        <f>D48*E48</f>
        <v>3.125</v>
      </c>
      <c r="G48" s="68">
        <v>0.5</v>
      </c>
      <c r="H48" s="68">
        <f>3.25*G48</f>
        <v>1.625</v>
      </c>
      <c r="I48" s="68">
        <v>0</v>
      </c>
      <c r="J48" s="69">
        <v>0</v>
      </c>
      <c r="K48" s="70">
        <v>0</v>
      </c>
      <c r="L48" s="69">
        <f t="shared" ref="L48:L57" si="11">Q$4*60</f>
        <v>4422.2222222222226</v>
      </c>
      <c r="M48" s="70">
        <v>0.15</v>
      </c>
      <c r="N48" s="69">
        <f t="shared" ref="N48:N57" si="12">M$7*60</f>
        <v>900</v>
      </c>
      <c r="O48" s="70">
        <f t="shared" ref="O48:O58" si="13">(Q$4*60*M$6)/L48*K48+M$7*60/N48*M48</f>
        <v>0.15</v>
      </c>
      <c r="P48" s="69">
        <f t="shared" ref="P48:P58" si="14">(Q$4*M$6+M$7)*60-O48</f>
        <v>27433.183333333334</v>
      </c>
      <c r="Q48" s="103">
        <f t="shared" ref="Q48:Q58" si="15">O48/(O48+P48)</f>
        <v>5.4678007290400968E-6</v>
      </c>
      <c r="R48" s="70">
        <f t="shared" ref="R48:R58" si="16">F48*O48</f>
        <v>0.46875</v>
      </c>
      <c r="S48" s="68">
        <f t="shared" ref="S48:S58" si="17">J48*P48</f>
        <v>0</v>
      </c>
      <c r="T48" s="69">
        <f t="shared" ref="T48:T57" si="18">((S48+R48)/(Q$4*M$6+M$7)/60)*Z48</f>
        <v>1.7086877278250301E-5</v>
      </c>
      <c r="U48" s="73">
        <f t="shared" si="0"/>
        <v>6.5807839933436298E-6</v>
      </c>
      <c r="V48" s="309"/>
      <c r="W48" s="310"/>
      <c r="X48" s="311"/>
      <c r="Y48" s="312"/>
      <c r="Z48">
        <v>1</v>
      </c>
    </row>
    <row r="49" spans="1:28" x14ac:dyDescent="0.25">
      <c r="A49" s="47">
        <f t="shared" si="1"/>
        <v>33</v>
      </c>
      <c r="B49" s="47" t="s">
        <v>214</v>
      </c>
      <c r="C49" s="14">
        <v>3</v>
      </c>
      <c r="D49" s="72">
        <f>E49*0.1</f>
        <v>9.9000000000000008E-3</v>
      </c>
      <c r="E49" s="68">
        <f>E90</f>
        <v>9.9000000000000005E-2</v>
      </c>
      <c r="F49" s="68">
        <f>D49*E49</f>
        <v>9.8010000000000002E-4</v>
      </c>
      <c r="G49" s="68"/>
      <c r="H49" s="68"/>
      <c r="I49" s="68">
        <v>0</v>
      </c>
      <c r="J49" s="69">
        <v>0</v>
      </c>
      <c r="K49" s="70">
        <v>0</v>
      </c>
      <c r="L49" s="69">
        <f t="shared" si="11"/>
        <v>4422.2222222222226</v>
      </c>
      <c r="M49" s="70">
        <v>90</v>
      </c>
      <c r="N49" s="69">
        <f t="shared" si="12"/>
        <v>900</v>
      </c>
      <c r="O49" s="70">
        <f t="shared" si="13"/>
        <v>90</v>
      </c>
      <c r="P49" s="69">
        <f t="shared" si="14"/>
        <v>27343.333333333336</v>
      </c>
      <c r="Q49" s="103">
        <f t="shared" si="15"/>
        <v>3.2806804374240581E-3</v>
      </c>
      <c r="R49" s="70">
        <f t="shared" si="16"/>
        <v>8.8208999999999996E-2</v>
      </c>
      <c r="S49" s="68">
        <f t="shared" si="17"/>
        <v>0</v>
      </c>
      <c r="T49" s="69">
        <f t="shared" si="18"/>
        <v>3.2153948967193189E-6</v>
      </c>
      <c r="U49" s="73">
        <f t="shared" si="0"/>
        <v>1.2383666672402096E-6</v>
      </c>
      <c r="V49" s="309"/>
      <c r="W49" s="310"/>
      <c r="X49" s="311"/>
      <c r="Y49" s="312"/>
      <c r="Z49">
        <v>1</v>
      </c>
    </row>
    <row r="50" spans="1:28" x14ac:dyDescent="0.25">
      <c r="A50" s="47">
        <f t="shared" si="1"/>
        <v>34</v>
      </c>
      <c r="B50" s="47" t="s">
        <v>215</v>
      </c>
      <c r="C50" s="14">
        <v>3</v>
      </c>
      <c r="D50" s="62">
        <f>$D$10</f>
        <v>10.8</v>
      </c>
      <c r="E50" s="63">
        <v>0.3</v>
      </c>
      <c r="F50" s="63">
        <f>E50*D50</f>
        <v>3.24</v>
      </c>
      <c r="G50" s="63"/>
      <c r="H50" s="63"/>
      <c r="I50" s="63">
        <v>9.9999999999999995E-8</v>
      </c>
      <c r="J50" s="64">
        <f>D50*I50</f>
        <v>1.08E-6</v>
      </c>
      <c r="K50" s="65">
        <v>0</v>
      </c>
      <c r="L50" s="64">
        <f t="shared" si="11"/>
        <v>4422.2222222222226</v>
      </c>
      <c r="M50" s="65">
        <v>0</v>
      </c>
      <c r="N50" s="64">
        <f t="shared" si="12"/>
        <v>900</v>
      </c>
      <c r="O50" s="65">
        <f t="shared" si="13"/>
        <v>0</v>
      </c>
      <c r="P50" s="64">
        <f t="shared" si="14"/>
        <v>27433.333333333336</v>
      </c>
      <c r="Q50" s="102">
        <f t="shared" si="15"/>
        <v>0</v>
      </c>
      <c r="R50" s="65">
        <f t="shared" si="16"/>
        <v>0</v>
      </c>
      <c r="S50" s="63">
        <f t="shared" si="17"/>
        <v>2.9628000000000005E-2</v>
      </c>
      <c r="T50" s="64">
        <f t="shared" si="18"/>
        <v>1.08E-6</v>
      </c>
      <c r="U50" s="66">
        <f t="shared" si="0"/>
        <v>4.1594766539687492E-7</v>
      </c>
      <c r="V50" s="305"/>
      <c r="W50" s="306"/>
      <c r="X50" s="307"/>
      <c r="Y50" s="308"/>
      <c r="Z50">
        <v>1</v>
      </c>
    </row>
    <row r="51" spans="1:28" x14ac:dyDescent="0.25">
      <c r="A51" s="47">
        <f t="shared" si="1"/>
        <v>35</v>
      </c>
      <c r="B51" s="47" t="s">
        <v>216</v>
      </c>
      <c r="C51" s="14">
        <v>3</v>
      </c>
      <c r="D51" s="67">
        <v>5</v>
      </c>
      <c r="E51" s="68">
        <v>0</v>
      </c>
      <c r="F51" s="68">
        <f>D51*E51</f>
        <v>0</v>
      </c>
      <c r="G51" s="68"/>
      <c r="H51" s="68"/>
      <c r="I51" s="68"/>
      <c r="J51" s="69"/>
      <c r="K51" s="70">
        <v>0</v>
      </c>
      <c r="L51" s="69">
        <f t="shared" si="11"/>
        <v>4422.2222222222226</v>
      </c>
      <c r="M51" s="70">
        <v>0</v>
      </c>
      <c r="N51" s="69">
        <f t="shared" si="12"/>
        <v>900</v>
      </c>
      <c r="O51" s="70">
        <f t="shared" si="13"/>
        <v>0</v>
      </c>
      <c r="P51" s="69">
        <f t="shared" si="14"/>
        <v>27433.333333333336</v>
      </c>
      <c r="Q51" s="103">
        <f t="shared" si="15"/>
        <v>0</v>
      </c>
      <c r="R51" s="70">
        <f t="shared" si="16"/>
        <v>0</v>
      </c>
      <c r="S51" s="68">
        <f t="shared" si="17"/>
        <v>0</v>
      </c>
      <c r="T51" s="69">
        <f t="shared" si="18"/>
        <v>0</v>
      </c>
      <c r="U51" s="73">
        <f t="shared" si="0"/>
        <v>0</v>
      </c>
      <c r="V51" s="309"/>
      <c r="W51" s="310"/>
      <c r="X51" s="311"/>
      <c r="Y51" s="312"/>
      <c r="Z51">
        <v>1</v>
      </c>
    </row>
    <row r="52" spans="1:28" x14ac:dyDescent="0.25">
      <c r="A52" s="47">
        <f t="shared" si="1"/>
        <v>36</v>
      </c>
      <c r="B52" s="47" t="s">
        <v>217</v>
      </c>
      <c r="C52" s="14">
        <v>3</v>
      </c>
      <c r="D52" s="65">
        <f>E52*0.02</f>
        <v>3.9945853763913089E-3</v>
      </c>
      <c r="E52" s="63">
        <f>T15/13</f>
        <v>0.19972926881956543</v>
      </c>
      <c r="F52" s="63">
        <f>0.00313*0.158</f>
        <v>4.9454000000000002E-4</v>
      </c>
      <c r="G52" s="63"/>
      <c r="H52" s="63"/>
      <c r="I52" s="63"/>
      <c r="J52" s="64"/>
      <c r="K52" s="65">
        <f>L52</f>
        <v>4422.2222222222226</v>
      </c>
      <c r="L52" s="64">
        <f t="shared" si="11"/>
        <v>4422.2222222222226</v>
      </c>
      <c r="M52" s="65">
        <f>N52</f>
        <v>900</v>
      </c>
      <c r="N52" s="64">
        <f t="shared" si="12"/>
        <v>900</v>
      </c>
      <c r="O52" s="65">
        <f t="shared" si="13"/>
        <v>27433.333333333336</v>
      </c>
      <c r="P52" s="64">
        <f t="shared" si="14"/>
        <v>0</v>
      </c>
      <c r="Q52" s="104">
        <f t="shared" si="15"/>
        <v>1</v>
      </c>
      <c r="R52" s="65">
        <f t="shared" si="16"/>
        <v>13.566880666666668</v>
      </c>
      <c r="S52" s="63">
        <f t="shared" si="17"/>
        <v>0</v>
      </c>
      <c r="T52" s="64">
        <f t="shared" si="18"/>
        <v>4.9454000000000002E-4</v>
      </c>
      <c r="U52" s="85">
        <f t="shared" si="0"/>
        <v>1.9046551707904678E-4</v>
      </c>
      <c r="V52" s="188"/>
      <c r="W52" s="189"/>
      <c r="X52" s="190"/>
      <c r="Y52" s="191"/>
      <c r="Z52">
        <v>1</v>
      </c>
    </row>
    <row r="53" spans="1:28" x14ac:dyDescent="0.25">
      <c r="A53" s="47">
        <f t="shared" si="1"/>
        <v>37</v>
      </c>
      <c r="B53" s="47" t="s">
        <v>218</v>
      </c>
      <c r="C53" s="14">
        <v>3</v>
      </c>
      <c r="D53" s="144"/>
      <c r="E53" s="145"/>
      <c r="F53" s="145"/>
      <c r="G53" s="145"/>
      <c r="H53" s="145"/>
      <c r="I53" s="145"/>
      <c r="J53" s="146"/>
      <c r="K53" s="147"/>
      <c r="L53" s="146"/>
      <c r="M53" s="147"/>
      <c r="N53" s="146"/>
      <c r="O53" s="147"/>
      <c r="P53" s="146"/>
      <c r="Q53" s="148"/>
      <c r="R53" s="147">
        <f>SUM(R54:R56)</f>
        <v>334.83623076923072</v>
      </c>
      <c r="S53" s="145">
        <f>SUM(S54:S56)</f>
        <v>0</v>
      </c>
      <c r="T53" s="146">
        <f>SUM(T54:T56)</f>
        <v>1.2205451911393585E-2</v>
      </c>
      <c r="U53" s="149">
        <f>T53/T$15</f>
        <v>4.7007678033870242E-3</v>
      </c>
      <c r="V53" s="192"/>
      <c r="W53" s="193"/>
      <c r="X53" s="194"/>
      <c r="Y53" s="195"/>
      <c r="Z53">
        <v>1</v>
      </c>
      <c r="AA53" t="s">
        <v>205</v>
      </c>
    </row>
    <row r="54" spans="1:28" x14ac:dyDescent="0.25">
      <c r="A54" s="47">
        <f t="shared" si="1"/>
        <v>38</v>
      </c>
      <c r="B54" s="47" t="s">
        <v>208</v>
      </c>
      <c r="C54" s="14">
        <v>4</v>
      </c>
      <c r="D54" s="62">
        <f>$D$10</f>
        <v>10.8</v>
      </c>
      <c r="E54" s="63">
        <v>1.4999999999999999E-4</v>
      </c>
      <c r="F54" s="63">
        <f>E54*D54</f>
        <v>1.6199999999999999E-3</v>
      </c>
      <c r="G54" s="63"/>
      <c r="H54" s="63"/>
      <c r="I54" s="63">
        <v>0</v>
      </c>
      <c r="J54" s="64">
        <v>0</v>
      </c>
      <c r="K54" s="65">
        <f>L54</f>
        <v>4422.2222222222226</v>
      </c>
      <c r="L54" s="64">
        <f>Q$4*60</f>
        <v>4422.2222222222226</v>
      </c>
      <c r="M54" s="65">
        <f>N54</f>
        <v>900</v>
      </c>
      <c r="N54" s="64">
        <f>M$7*60</f>
        <v>900</v>
      </c>
      <c r="O54" s="65">
        <f>(Q$4*60*M$6)/L54*K54+M$7*60/N54*M54</f>
        <v>27433.333333333336</v>
      </c>
      <c r="P54" s="64">
        <f>(Q$4*M$6+M$7)*60-O54</f>
        <v>0</v>
      </c>
      <c r="Q54" s="107">
        <f>O54/(O54+P54)</f>
        <v>1</v>
      </c>
      <c r="R54" s="65">
        <f>F54*O54</f>
        <v>44.442</v>
      </c>
      <c r="S54" s="63">
        <f>J54*P54</f>
        <v>0</v>
      </c>
      <c r="T54" s="64">
        <f>((S54+R54)/(Q$4*M$6+M$7)/60)*Z54</f>
        <v>1.6199999999999997E-3</v>
      </c>
      <c r="U54" s="85">
        <f>T54/T$15</f>
        <v>6.2392149809531222E-4</v>
      </c>
      <c r="V54" s="188"/>
      <c r="W54" s="189"/>
      <c r="X54" s="190"/>
      <c r="Y54" s="191"/>
      <c r="Z54">
        <v>1</v>
      </c>
    </row>
    <row r="55" spans="1:28" x14ac:dyDescent="0.25">
      <c r="A55" s="47">
        <f t="shared" si="1"/>
        <v>39</v>
      </c>
      <c r="B55" s="47" t="s">
        <v>219</v>
      </c>
      <c r="C55" s="14">
        <v>4</v>
      </c>
      <c r="D55" s="62">
        <f>$D$10</f>
        <v>10.8</v>
      </c>
      <c r="E55" s="68">
        <f>E81*5/D55/0.65</f>
        <v>6.6239316239316226E-2</v>
      </c>
      <c r="F55" s="68">
        <f>E55*D55</f>
        <v>0.71538461538461529</v>
      </c>
      <c r="G55" s="68"/>
      <c r="H55" s="68"/>
      <c r="I55" s="68"/>
      <c r="J55" s="69"/>
      <c r="K55" s="70">
        <v>0</v>
      </c>
      <c r="L55" s="69">
        <f>Q$4*M$6*60</f>
        <v>26533.333333333336</v>
      </c>
      <c r="M55" s="70">
        <v>240</v>
      </c>
      <c r="N55" s="69">
        <f>M$7*60</f>
        <v>900</v>
      </c>
      <c r="O55" s="70">
        <f>(Q$4*60*M$6)/L55*K55+M$7*60/N55*M55</f>
        <v>240</v>
      </c>
      <c r="P55" s="69">
        <f>(Q$4*M$6+M$7)*60-O55</f>
        <v>27193.333333333336</v>
      </c>
      <c r="Q55" s="103">
        <f>O55/(O55+P55)</f>
        <v>8.7484811664641556E-3</v>
      </c>
      <c r="R55" s="70">
        <f>F55*O55</f>
        <v>171.69230769230768</v>
      </c>
      <c r="S55" s="68">
        <f>J55*P55</f>
        <v>0</v>
      </c>
      <c r="T55" s="69">
        <f>((S55+R55)/(Q$4*M$6+M$7)/60)*Z55</f>
        <v>6.2585288344705094E-3</v>
      </c>
      <c r="U55" s="71">
        <f>T55/T$15</f>
        <v>2.4103893125157713E-3</v>
      </c>
      <c r="V55" s="309"/>
      <c r="W55" s="310"/>
      <c r="X55" s="311"/>
      <c r="Y55" s="312"/>
      <c r="Z55">
        <v>1</v>
      </c>
    </row>
    <row r="56" spans="1:28" x14ac:dyDescent="0.25">
      <c r="A56" s="47">
        <f t="shared" si="1"/>
        <v>40</v>
      </c>
      <c r="B56" s="47" t="s">
        <v>220</v>
      </c>
      <c r="C56" s="14">
        <v>4</v>
      </c>
      <c r="D56" s="62">
        <f>$D$10</f>
        <v>10.8</v>
      </c>
      <c r="E56" s="68">
        <f>(E88+(E37*Z37))*5/D56/0.65</f>
        <v>1.0683760683760682E-2</v>
      </c>
      <c r="F56" s="68">
        <f>E56*D56</f>
        <v>0.11538461538461538</v>
      </c>
      <c r="G56" s="68"/>
      <c r="H56" s="68"/>
      <c r="I56" s="68"/>
      <c r="J56" s="69"/>
      <c r="K56" s="69">
        <f>K88</f>
        <v>0.15</v>
      </c>
      <c r="L56" s="69">
        <f>L88</f>
        <v>4</v>
      </c>
      <c r="M56" s="69">
        <f>M88</f>
        <v>0.15</v>
      </c>
      <c r="N56" s="69">
        <f>N88</f>
        <v>4</v>
      </c>
      <c r="O56" s="70">
        <f>(Q$4*60*M$6)/L56*K56+M$7*60/N56*M56</f>
        <v>1028.75</v>
      </c>
      <c r="P56" s="69">
        <f>(Q$4*M$6+M$7)*60-O56</f>
        <v>26404.583333333336</v>
      </c>
      <c r="Q56" s="103">
        <f>O56/(O56+P56)</f>
        <v>3.7499999999999999E-2</v>
      </c>
      <c r="R56" s="70">
        <f>F56*O56</f>
        <v>118.70192307692307</v>
      </c>
      <c r="S56" s="68">
        <f>J56*P56</f>
        <v>0</v>
      </c>
      <c r="T56" s="69">
        <f>((S56+R56)/(Q$4*M$6+M$7)/60)*Z56</f>
        <v>4.3269230769230763E-3</v>
      </c>
      <c r="U56" s="73">
        <f>T56/T$15</f>
        <v>1.6664569927759409E-3</v>
      </c>
      <c r="V56" s="309"/>
      <c r="W56" s="310"/>
      <c r="X56" s="311"/>
      <c r="Y56" s="312"/>
      <c r="Z56">
        <v>1</v>
      </c>
    </row>
    <row r="57" spans="1:28" x14ac:dyDescent="0.25">
      <c r="A57" s="47">
        <f t="shared" si="1"/>
        <v>41</v>
      </c>
      <c r="B57" s="47" t="s">
        <v>221</v>
      </c>
      <c r="C57" s="14">
        <v>3</v>
      </c>
      <c r="D57" s="67">
        <v>8</v>
      </c>
      <c r="E57" s="68">
        <f>E64</f>
        <v>1.6000000000000001E-4</v>
      </c>
      <c r="F57" s="68">
        <f>D57*E57</f>
        <v>1.2800000000000001E-3</v>
      </c>
      <c r="G57" s="68"/>
      <c r="H57" s="68"/>
      <c r="I57" s="68"/>
      <c r="J57" s="69"/>
      <c r="K57" s="70">
        <f>L57</f>
        <v>4422.2222222222226</v>
      </c>
      <c r="L57" s="69">
        <f t="shared" si="11"/>
        <v>4422.2222222222226</v>
      </c>
      <c r="M57" s="70">
        <f>N57</f>
        <v>900</v>
      </c>
      <c r="N57" s="69">
        <f t="shared" si="12"/>
        <v>900</v>
      </c>
      <c r="O57" s="70">
        <f t="shared" si="13"/>
        <v>27433.333333333336</v>
      </c>
      <c r="P57" s="69">
        <f t="shared" si="14"/>
        <v>0</v>
      </c>
      <c r="Q57" s="105">
        <f t="shared" si="15"/>
        <v>1</v>
      </c>
      <c r="R57" s="70">
        <f t="shared" si="16"/>
        <v>35.114666666666672</v>
      </c>
      <c r="S57" s="68">
        <f t="shared" si="17"/>
        <v>0</v>
      </c>
      <c r="T57" s="69">
        <f t="shared" si="18"/>
        <v>1.2800000000000001E-3</v>
      </c>
      <c r="U57" s="84">
        <f t="shared" ref="U57:U83" si="19">T57/T$15</f>
        <v>4.9297501084074062E-4</v>
      </c>
      <c r="V57" s="196"/>
      <c r="W57" s="197"/>
      <c r="X57" s="187"/>
      <c r="Y57" s="198"/>
      <c r="Z57">
        <v>1</v>
      </c>
    </row>
    <row r="58" spans="1:28" x14ac:dyDescent="0.25">
      <c r="A58" s="47">
        <f t="shared" si="1"/>
        <v>42</v>
      </c>
      <c r="B58" s="47" t="s">
        <v>222</v>
      </c>
      <c r="C58" s="14">
        <v>3</v>
      </c>
      <c r="D58" s="70">
        <f>E58*0.02</f>
        <v>5.7439999999999998E-2</v>
      </c>
      <c r="E58" s="68">
        <f>E19</f>
        <v>2.8719999999999999</v>
      </c>
      <c r="F58" s="68">
        <f>D58*E58</f>
        <v>0.16496767999999998</v>
      </c>
      <c r="G58" s="68"/>
      <c r="H58" s="68"/>
      <c r="I58" s="68"/>
      <c r="J58" s="69"/>
      <c r="K58" s="70">
        <f>K19</f>
        <v>166.49534528028104</v>
      </c>
      <c r="L58" s="69">
        <f>L19</f>
        <v>4422.2222222222226</v>
      </c>
      <c r="M58" s="70">
        <f>M19</f>
        <v>0</v>
      </c>
      <c r="N58" s="69">
        <f>N19</f>
        <v>900</v>
      </c>
      <c r="O58" s="70">
        <f t="shared" si="13"/>
        <v>998.9720716816862</v>
      </c>
      <c r="P58" s="69">
        <f t="shared" si="14"/>
        <v>26434.361261651651</v>
      </c>
      <c r="Q58" s="103">
        <f t="shared" si="15"/>
        <v>3.6414534812212129E-2</v>
      </c>
      <c r="R58" s="70">
        <f t="shared" si="16"/>
        <v>164.79810505012145</v>
      </c>
      <c r="S58" s="68">
        <f t="shared" si="17"/>
        <v>0</v>
      </c>
      <c r="T58" s="69">
        <f t="shared" ref="T58:T81" si="20">((S58+R58)/(Q$4*M$6+M$7)/60)*Z58</f>
        <v>6.0072213262498692E-3</v>
      </c>
      <c r="U58" s="73">
        <f t="shared" si="19"/>
        <v>2.3136015612740292E-3</v>
      </c>
      <c r="V58" s="309"/>
      <c r="W58" s="310"/>
      <c r="X58" s="311"/>
      <c r="Y58" s="312"/>
      <c r="Z58">
        <v>1</v>
      </c>
      <c r="AA58" t="s">
        <v>223</v>
      </c>
      <c r="AB58" t="s">
        <v>224</v>
      </c>
    </row>
    <row r="59" spans="1:28" x14ac:dyDescent="0.25">
      <c r="A59" s="47">
        <f t="shared" si="1"/>
        <v>43</v>
      </c>
      <c r="B59" s="47" t="s">
        <v>225</v>
      </c>
      <c r="C59" s="14">
        <v>3</v>
      </c>
      <c r="D59" s="13"/>
      <c r="E59" s="53"/>
      <c r="F59" s="53"/>
      <c r="G59" s="53"/>
      <c r="H59" s="53"/>
      <c r="I59" s="53"/>
      <c r="J59" s="54"/>
      <c r="K59" s="55"/>
      <c r="L59" s="54"/>
      <c r="M59" s="55"/>
      <c r="N59" s="54"/>
      <c r="O59" s="55"/>
      <c r="P59" s="54"/>
      <c r="Q59" s="99"/>
      <c r="R59" s="55"/>
      <c r="S59" s="53"/>
      <c r="T59" s="54">
        <f t="shared" si="20"/>
        <v>0</v>
      </c>
      <c r="U59" s="76">
        <f t="shared" si="19"/>
        <v>0</v>
      </c>
      <c r="V59" s="317"/>
      <c r="W59" s="318"/>
      <c r="X59" s="319"/>
      <c r="Y59" s="320"/>
      <c r="Z59">
        <v>1</v>
      </c>
    </row>
    <row r="60" spans="1:28" x14ac:dyDescent="0.25">
      <c r="A60" s="47">
        <f t="shared" si="1"/>
        <v>44</v>
      </c>
      <c r="B60" s="47" t="s">
        <v>226</v>
      </c>
      <c r="C60" s="14">
        <v>3</v>
      </c>
      <c r="D60" s="72">
        <f>E60*0.8</f>
        <v>0.16752</v>
      </c>
      <c r="E60" s="68">
        <f>E83</f>
        <v>0.20939999999999998</v>
      </c>
      <c r="F60" s="68">
        <f>E60*D60</f>
        <v>3.5078687999999997E-2</v>
      </c>
      <c r="G60" s="68"/>
      <c r="H60" s="68"/>
      <c r="I60" s="68"/>
      <c r="J60" s="69"/>
      <c r="K60" s="70">
        <v>1</v>
      </c>
      <c r="L60" s="69">
        <v>30</v>
      </c>
      <c r="M60" s="70">
        <v>0</v>
      </c>
      <c r="N60" s="69">
        <f>M$7*60</f>
        <v>900</v>
      </c>
      <c r="O60" s="70">
        <f>(Q$4*60*M$6)/L60*K60+M$7*60/N60*M60</f>
        <v>884.44444444444457</v>
      </c>
      <c r="P60" s="69">
        <f>(Q$4*M$6+M$7)*60-O60</f>
        <v>26548.888888888891</v>
      </c>
      <c r="Q60" s="103">
        <f>O60/(O60+P60)</f>
        <v>3.2239773187525314E-2</v>
      </c>
      <c r="R60" s="70">
        <f>F60*O60</f>
        <v>31.025150720000003</v>
      </c>
      <c r="S60" s="68">
        <f>J60*P60</f>
        <v>0</v>
      </c>
      <c r="T60" s="69">
        <f t="shared" si="20"/>
        <v>1.130928944835966E-3</v>
      </c>
      <c r="U60" s="73">
        <f t="shared" si="19"/>
        <v>4.3556227253173255E-4</v>
      </c>
      <c r="V60" s="309"/>
      <c r="W60" s="310"/>
      <c r="X60" s="311"/>
      <c r="Y60" s="312"/>
      <c r="Z60">
        <v>1</v>
      </c>
    </row>
    <row r="61" spans="1:28" x14ac:dyDescent="0.25">
      <c r="A61" s="47">
        <f t="shared" si="1"/>
        <v>45</v>
      </c>
      <c r="B61" s="47" t="s">
        <v>227</v>
      </c>
      <c r="C61" s="14">
        <v>3</v>
      </c>
      <c r="D61" s="72">
        <f>E61*0.8</f>
        <v>0.14222441237693359</v>
      </c>
      <c r="E61" s="68">
        <f>E24</f>
        <v>0.17778051547116699</v>
      </c>
      <c r="F61" s="68">
        <f>D61*E61</f>
        <v>2.5284729344955077E-2</v>
      </c>
      <c r="G61" s="68"/>
      <c r="H61" s="68"/>
      <c r="I61" s="68"/>
      <c r="J61" s="69"/>
      <c r="K61" s="70">
        <v>7.5</v>
      </c>
      <c r="L61" s="69">
        <f>Q$4*60</f>
        <v>4422.2222222222226</v>
      </c>
      <c r="M61" s="70">
        <v>0</v>
      </c>
      <c r="N61" s="69">
        <f>M$7*60</f>
        <v>900</v>
      </c>
      <c r="O61" s="70">
        <f>(Q$4*60*M$6)/L61*K61+M$7*60/N61*M61</f>
        <v>45</v>
      </c>
      <c r="P61" s="69">
        <f>(Q$4*M$6+M$7)*60-O61</f>
        <v>27388.333333333336</v>
      </c>
      <c r="Q61" s="103">
        <f>O61/(O61+P61)</f>
        <v>1.6403402187120291E-3</v>
      </c>
      <c r="R61" s="70">
        <f>F61*O61</f>
        <v>1.1378128205229785</v>
      </c>
      <c r="S61" s="68">
        <f>J61*P61</f>
        <v>0</v>
      </c>
      <c r="T61" s="69">
        <f t="shared" si="20"/>
        <v>4.1475558463778069E-5</v>
      </c>
      <c r="U61" s="73">
        <f t="shared" si="19"/>
        <v>1.597376084633341E-5</v>
      </c>
      <c r="V61" s="309"/>
      <c r="W61" s="310"/>
      <c r="X61" s="311"/>
      <c r="Y61" s="312"/>
      <c r="Z61">
        <v>1</v>
      </c>
    </row>
    <row r="62" spans="1:28" x14ac:dyDescent="0.25">
      <c r="A62" s="47">
        <f t="shared" si="1"/>
        <v>46</v>
      </c>
      <c r="B62" s="47" t="s">
        <v>228</v>
      </c>
      <c r="C62" s="14">
        <v>3</v>
      </c>
      <c r="D62" s="13"/>
      <c r="E62" s="53"/>
      <c r="F62" s="53"/>
      <c r="G62" s="53"/>
      <c r="H62" s="53"/>
      <c r="I62" s="53"/>
      <c r="J62" s="54"/>
      <c r="K62" s="55"/>
      <c r="L62" s="54"/>
      <c r="M62" s="55"/>
      <c r="N62" s="54"/>
      <c r="O62" s="55"/>
      <c r="P62" s="54"/>
      <c r="Q62" s="99"/>
      <c r="R62" s="55"/>
      <c r="S62" s="53"/>
      <c r="T62" s="54">
        <f t="shared" si="20"/>
        <v>0</v>
      </c>
      <c r="U62" s="76">
        <f t="shared" si="19"/>
        <v>0</v>
      </c>
      <c r="V62" s="317"/>
      <c r="W62" s="318"/>
      <c r="X62" s="319"/>
      <c r="Y62" s="320"/>
      <c r="Z62">
        <v>1</v>
      </c>
    </row>
    <row r="63" spans="1:28" x14ac:dyDescent="0.25">
      <c r="A63" s="47">
        <f t="shared" si="1"/>
        <v>47</v>
      </c>
      <c r="B63" s="47" t="s">
        <v>229</v>
      </c>
      <c r="C63" s="14">
        <v>3</v>
      </c>
      <c r="D63" s="67">
        <v>5</v>
      </c>
      <c r="E63" s="68">
        <f>D63/100000</f>
        <v>5.0000000000000002E-5</v>
      </c>
      <c r="F63" s="68">
        <f>E63*D63</f>
        <v>2.5000000000000001E-4</v>
      </c>
      <c r="G63" s="68"/>
      <c r="H63" s="68"/>
      <c r="I63" s="68"/>
      <c r="J63" s="69"/>
      <c r="K63" s="70">
        <v>6.5000000000000002E-2</v>
      </c>
      <c r="L63" s="69">
        <v>4</v>
      </c>
      <c r="M63" s="70">
        <v>6.5000000000000002E-2</v>
      </c>
      <c r="N63" s="69">
        <v>4</v>
      </c>
      <c r="O63" s="70">
        <f t="shared" ref="O63:O81" si="21">(Q$4*60*M$6)/L63*K63+M$7*60/N63*M63</f>
        <v>445.79166666666674</v>
      </c>
      <c r="P63" s="69">
        <f t="shared" ref="P63:P81" si="22">(Q$4*M$6+M$7)*60-O63</f>
        <v>26987.541666666668</v>
      </c>
      <c r="Q63" s="105">
        <f t="shared" ref="Q63:Q81" si="23">O63/(O63+P63)</f>
        <v>1.6250000000000001E-2</v>
      </c>
      <c r="R63" s="70">
        <f t="shared" ref="R63:R81" si="24">F63*O63</f>
        <v>0.11144791666666669</v>
      </c>
      <c r="S63" s="68">
        <f t="shared" ref="S63:S81" si="25">J63*P63</f>
        <v>0</v>
      </c>
      <c r="T63" s="69">
        <f>((S63+R63)/(Q$4*M$6+M$7)/60)*Z63</f>
        <v>4.0625000000000005E-6</v>
      </c>
      <c r="U63" s="84">
        <f t="shared" si="19"/>
        <v>1.5646179543285227E-6</v>
      </c>
      <c r="V63" s="196"/>
      <c r="W63" s="197"/>
      <c r="X63" s="187"/>
      <c r="Y63" s="198"/>
      <c r="Z63">
        <v>1</v>
      </c>
    </row>
    <row r="64" spans="1:28" x14ac:dyDescent="0.25">
      <c r="A64" s="47">
        <f t="shared" si="1"/>
        <v>48</v>
      </c>
      <c r="B64" s="47" t="s">
        <v>230</v>
      </c>
      <c r="C64" s="14">
        <v>3</v>
      </c>
      <c r="D64" s="67">
        <v>5</v>
      </c>
      <c r="E64" s="68">
        <f>0.00016</f>
        <v>1.6000000000000001E-4</v>
      </c>
      <c r="F64" s="68">
        <f>D64*E64</f>
        <v>8.0000000000000004E-4</v>
      </c>
      <c r="G64" s="68"/>
      <c r="H64" s="68"/>
      <c r="I64" s="68"/>
      <c r="J64" s="69"/>
      <c r="K64" s="70">
        <f>L64</f>
        <v>4422.2222222222226</v>
      </c>
      <c r="L64" s="69">
        <f>Q$4*60</f>
        <v>4422.2222222222226</v>
      </c>
      <c r="M64" s="70">
        <f>N64</f>
        <v>900</v>
      </c>
      <c r="N64" s="69">
        <f>M$7*60</f>
        <v>900</v>
      </c>
      <c r="O64" s="70">
        <f t="shared" si="21"/>
        <v>27433.333333333336</v>
      </c>
      <c r="P64" s="69">
        <f t="shared" si="22"/>
        <v>0</v>
      </c>
      <c r="Q64" s="105">
        <f t="shared" si="23"/>
        <v>1</v>
      </c>
      <c r="R64" s="70">
        <f t="shared" si="24"/>
        <v>21.946666666666669</v>
      </c>
      <c r="S64" s="68">
        <f t="shared" si="25"/>
        <v>0</v>
      </c>
      <c r="T64" s="69">
        <f>((S64+R64)/(Q$4*M$6+M$7)/60)*Z64</f>
        <v>8.0000000000000004E-4</v>
      </c>
      <c r="U64" s="84">
        <f t="shared" si="19"/>
        <v>3.081093817754629E-4</v>
      </c>
      <c r="V64" s="196"/>
      <c r="W64" s="197"/>
      <c r="X64" s="187"/>
      <c r="Y64" s="198"/>
      <c r="Z64">
        <v>1</v>
      </c>
    </row>
    <row r="65" spans="1:28" x14ac:dyDescent="0.25">
      <c r="A65" s="47">
        <f t="shared" si="1"/>
        <v>49</v>
      </c>
      <c r="B65" s="47" t="s">
        <v>231</v>
      </c>
      <c r="C65" s="14">
        <v>3</v>
      </c>
      <c r="D65" s="67">
        <v>10</v>
      </c>
      <c r="E65" s="68">
        <v>3.5000000000000001E-3</v>
      </c>
      <c r="F65" s="68">
        <f>D65*E65</f>
        <v>3.5000000000000003E-2</v>
      </c>
      <c r="G65" s="68"/>
      <c r="H65" s="68"/>
      <c r="I65" s="68">
        <v>2.1999999999999999E-5</v>
      </c>
      <c r="J65" s="69">
        <f>I65*D65</f>
        <v>2.1999999999999998E-4</v>
      </c>
      <c r="K65" s="70">
        <v>7.0000000000000007E-2</v>
      </c>
      <c r="L65" s="69">
        <v>4</v>
      </c>
      <c r="M65" s="70">
        <v>0</v>
      </c>
      <c r="N65" s="69">
        <f>M$7*60</f>
        <v>900</v>
      </c>
      <c r="O65" s="70">
        <f t="shared" si="21"/>
        <v>464.33333333333343</v>
      </c>
      <c r="P65" s="69">
        <f t="shared" si="22"/>
        <v>26969.000000000004</v>
      </c>
      <c r="Q65" s="103">
        <f t="shared" si="23"/>
        <v>1.6925880923450792E-2</v>
      </c>
      <c r="R65" s="70">
        <f t="shared" si="24"/>
        <v>16.251666666666672</v>
      </c>
      <c r="S65" s="68">
        <f t="shared" si="25"/>
        <v>5.9331800000000001</v>
      </c>
      <c r="T65" s="69">
        <f t="shared" si="20"/>
        <v>8.0868213851761862E-4</v>
      </c>
      <c r="U65" s="73">
        <f t="shared" si="19"/>
        <v>3.1145319218940339E-4</v>
      </c>
      <c r="V65" s="309"/>
      <c r="W65" s="310"/>
      <c r="X65" s="311"/>
      <c r="Y65" s="312"/>
      <c r="Z65">
        <v>1</v>
      </c>
    </row>
    <row r="66" spans="1:28" x14ac:dyDescent="0.25">
      <c r="A66" s="47">
        <f t="shared" si="1"/>
        <v>50</v>
      </c>
      <c r="B66" s="47" t="s">
        <v>232</v>
      </c>
      <c r="C66" s="14">
        <v>3</v>
      </c>
      <c r="D66" s="62">
        <f>$D$10</f>
        <v>10.8</v>
      </c>
      <c r="E66" s="68">
        <v>2.5999999999999999E-3</v>
      </c>
      <c r="F66" s="68">
        <f>D66*E66</f>
        <v>2.8080000000000001E-2</v>
      </c>
      <c r="G66" s="68"/>
      <c r="H66" s="68"/>
      <c r="I66" s="68">
        <v>2.1999999999999999E-5</v>
      </c>
      <c r="J66" s="69">
        <f>I66*D66</f>
        <v>2.376E-4</v>
      </c>
      <c r="K66" s="70">
        <v>7.0000000000000007E-2</v>
      </c>
      <c r="L66" s="69">
        <v>4</v>
      </c>
      <c r="M66" s="70">
        <v>0</v>
      </c>
      <c r="N66" s="69">
        <f>M$7*60</f>
        <v>900</v>
      </c>
      <c r="O66" s="70">
        <f t="shared" si="21"/>
        <v>464.33333333333343</v>
      </c>
      <c r="P66" s="69">
        <f t="shared" si="22"/>
        <v>26969.000000000004</v>
      </c>
      <c r="Q66" s="103">
        <f t="shared" si="23"/>
        <v>1.6925880923450792E-2</v>
      </c>
      <c r="R66" s="70">
        <f t="shared" si="24"/>
        <v>13.038480000000003</v>
      </c>
      <c r="S66" s="68">
        <f t="shared" si="25"/>
        <v>6.4078344000000005</v>
      </c>
      <c r="T66" s="69">
        <f t="shared" si="20"/>
        <v>7.0885714702308643E-4</v>
      </c>
      <c r="U66" s="73">
        <f t="shared" si="19"/>
        <v>2.7300692167050197E-4</v>
      </c>
      <c r="V66" s="309"/>
      <c r="W66" s="310"/>
      <c r="X66" s="311"/>
      <c r="Y66" s="312"/>
      <c r="Z66">
        <v>1</v>
      </c>
    </row>
    <row r="67" spans="1:28" x14ac:dyDescent="0.25">
      <c r="A67" s="47">
        <f t="shared" si="1"/>
        <v>51</v>
      </c>
      <c r="B67" s="47" t="s">
        <v>233</v>
      </c>
      <c r="C67" s="14">
        <v>3</v>
      </c>
      <c r="D67" s="62">
        <f>$D$10</f>
        <v>10.8</v>
      </c>
      <c r="E67" s="68">
        <f>D67/70400</f>
        <v>1.5340909090909093E-4</v>
      </c>
      <c r="F67" s="68">
        <f>D67*E67</f>
        <v>1.6568181818181823E-3</v>
      </c>
      <c r="G67" s="68"/>
      <c r="H67" s="68"/>
      <c r="I67" s="68"/>
      <c r="J67" s="69"/>
      <c r="K67" s="70">
        <v>0.2</v>
      </c>
      <c r="L67" s="69">
        <v>4</v>
      </c>
      <c r="M67" s="70">
        <v>0.2</v>
      </c>
      <c r="N67" s="69">
        <v>2</v>
      </c>
      <c r="O67" s="70">
        <f t="shared" si="21"/>
        <v>1416.666666666667</v>
      </c>
      <c r="P67" s="69">
        <f t="shared" si="22"/>
        <v>26016.666666666668</v>
      </c>
      <c r="Q67" s="105">
        <f t="shared" si="23"/>
        <v>5.1640340218712034E-2</v>
      </c>
      <c r="R67" s="70">
        <f t="shared" si="24"/>
        <v>2.3471590909090922</v>
      </c>
      <c r="S67" s="68">
        <f t="shared" si="25"/>
        <v>0</v>
      </c>
      <c r="T67" s="69">
        <f t="shared" si="20"/>
        <v>8.5558654589638837E-5</v>
      </c>
      <c r="U67" s="84">
        <f t="shared" si="19"/>
        <v>3.2951780213942488E-5</v>
      </c>
      <c r="V67" s="196"/>
      <c r="W67" s="197"/>
      <c r="X67" s="187"/>
      <c r="Y67" s="198"/>
      <c r="Z67">
        <v>1</v>
      </c>
    </row>
    <row r="68" spans="1:28" x14ac:dyDescent="0.25">
      <c r="A68" s="47">
        <f t="shared" si="1"/>
        <v>52</v>
      </c>
      <c r="B68" s="47" t="s">
        <v>234</v>
      </c>
      <c r="C68" s="14">
        <v>3</v>
      </c>
      <c r="D68" s="62">
        <v>5</v>
      </c>
      <c r="E68" s="63">
        <f>0.0018/4</f>
        <v>4.4999999999999999E-4</v>
      </c>
      <c r="F68" s="63">
        <f>E68*D68</f>
        <v>2.2499999999999998E-3</v>
      </c>
      <c r="G68" s="63"/>
      <c r="H68" s="63"/>
      <c r="I68" s="63"/>
      <c r="J68" s="64"/>
      <c r="K68" s="65">
        <f>L68</f>
        <v>4422.2222222222226</v>
      </c>
      <c r="L68" s="64">
        <f>Q$4*60</f>
        <v>4422.2222222222226</v>
      </c>
      <c r="M68" s="65">
        <f>N68</f>
        <v>900</v>
      </c>
      <c r="N68" s="64">
        <f>M$7*60</f>
        <v>900</v>
      </c>
      <c r="O68" s="65">
        <f t="shared" si="21"/>
        <v>27433.333333333336</v>
      </c>
      <c r="P68" s="64">
        <f t="shared" si="22"/>
        <v>0</v>
      </c>
      <c r="Q68" s="104">
        <f t="shared" si="23"/>
        <v>1</v>
      </c>
      <c r="R68" s="65">
        <f t="shared" si="24"/>
        <v>61.725000000000001</v>
      </c>
      <c r="S68" s="63">
        <f t="shared" si="25"/>
        <v>0</v>
      </c>
      <c r="T68" s="64">
        <f t="shared" si="20"/>
        <v>2.2499999999999998E-3</v>
      </c>
      <c r="U68" s="85">
        <f t="shared" si="19"/>
        <v>8.6655763624348932E-4</v>
      </c>
      <c r="V68" s="188"/>
      <c r="W68" s="189"/>
      <c r="X68" s="190"/>
      <c r="Y68" s="191"/>
      <c r="Z68">
        <v>1</v>
      </c>
    </row>
    <row r="69" spans="1:28" x14ac:dyDescent="0.25">
      <c r="A69" s="47">
        <f t="shared" si="1"/>
        <v>53</v>
      </c>
      <c r="B69" s="47" t="s">
        <v>235</v>
      </c>
      <c r="C69" s="14">
        <v>3</v>
      </c>
      <c r="D69" s="62">
        <f>$D$10</f>
        <v>10.8</v>
      </c>
      <c r="E69" s="63">
        <f>E84+E18+E23</f>
        <v>7.5000000000000002E-4</v>
      </c>
      <c r="F69" s="63">
        <f>D69*E69</f>
        <v>8.1000000000000013E-3</v>
      </c>
      <c r="G69" s="63"/>
      <c r="H69" s="63"/>
      <c r="I69" s="63"/>
      <c r="J69" s="64"/>
      <c r="K69" s="65">
        <v>1</v>
      </c>
      <c r="L69" s="64">
        <v>30</v>
      </c>
      <c r="M69" s="65">
        <v>0</v>
      </c>
      <c r="N69" s="64">
        <f>M$7*60</f>
        <v>900</v>
      </c>
      <c r="O69" s="65">
        <f t="shared" si="21"/>
        <v>884.44444444444457</v>
      </c>
      <c r="P69" s="64">
        <f t="shared" si="22"/>
        <v>26548.888888888891</v>
      </c>
      <c r="Q69" s="104">
        <f t="shared" si="23"/>
        <v>3.2239773187525314E-2</v>
      </c>
      <c r="R69" s="65">
        <f t="shared" si="24"/>
        <v>7.1640000000000024</v>
      </c>
      <c r="S69" s="63">
        <f t="shared" si="25"/>
        <v>0</v>
      </c>
      <c r="T69" s="64">
        <f t="shared" ref="T69:T78" si="26">((S69+R69)/(Q$4*M$6+M$7)/60)*Z69</f>
        <v>2.6114216281895511E-4</v>
      </c>
      <c r="U69" s="85">
        <f t="shared" si="19"/>
        <v>1.0057543792706941E-4</v>
      </c>
      <c r="V69" s="188"/>
      <c r="W69" s="189"/>
      <c r="X69" s="190"/>
      <c r="Y69" s="191"/>
      <c r="Z69">
        <v>1</v>
      </c>
    </row>
    <row r="70" spans="1:28" x14ac:dyDescent="0.25">
      <c r="A70" s="47">
        <f t="shared" si="1"/>
        <v>54</v>
      </c>
      <c r="B70" s="47" t="s">
        <v>236</v>
      </c>
      <c r="C70" s="14">
        <v>3</v>
      </c>
      <c r="D70" s="62">
        <v>5</v>
      </c>
      <c r="E70" s="63">
        <v>2.0000000000000001E-4</v>
      </c>
      <c r="F70" s="63">
        <f>E70*D70</f>
        <v>1E-3</v>
      </c>
      <c r="G70" s="63"/>
      <c r="H70" s="63"/>
      <c r="I70" s="63"/>
      <c r="J70" s="64"/>
      <c r="K70" s="65">
        <f>L70</f>
        <v>4422.2222222222226</v>
      </c>
      <c r="L70" s="64">
        <f>Q$4*60</f>
        <v>4422.2222222222226</v>
      </c>
      <c r="M70" s="65">
        <f>N70</f>
        <v>900</v>
      </c>
      <c r="N70" s="64">
        <f>M$7*60</f>
        <v>900</v>
      </c>
      <c r="O70" s="65">
        <f t="shared" si="21"/>
        <v>27433.333333333336</v>
      </c>
      <c r="P70" s="64">
        <f t="shared" si="22"/>
        <v>0</v>
      </c>
      <c r="Q70" s="104">
        <f t="shared" si="23"/>
        <v>1</v>
      </c>
      <c r="R70" s="65">
        <f t="shared" si="24"/>
        <v>27.433333333333337</v>
      </c>
      <c r="S70" s="63">
        <f t="shared" si="25"/>
        <v>0</v>
      </c>
      <c r="T70" s="64">
        <f t="shared" si="26"/>
        <v>1E-3</v>
      </c>
      <c r="U70" s="85">
        <f t="shared" si="19"/>
        <v>3.851367272193286E-4</v>
      </c>
      <c r="V70" s="188"/>
      <c r="W70" s="189"/>
      <c r="X70" s="190"/>
      <c r="Y70" s="191"/>
      <c r="Z70">
        <v>1</v>
      </c>
    </row>
    <row r="71" spans="1:28" x14ac:dyDescent="0.25">
      <c r="A71" s="47">
        <f t="shared" si="1"/>
        <v>55</v>
      </c>
      <c r="B71" s="47" t="s">
        <v>237</v>
      </c>
      <c r="C71" s="14">
        <v>3</v>
      </c>
      <c r="D71" s="62">
        <v>5</v>
      </c>
      <c r="E71" s="63">
        <v>1.1999999999999999E-7</v>
      </c>
      <c r="F71" s="63">
        <f>E71*D71</f>
        <v>5.9999999999999997E-7</v>
      </c>
      <c r="G71" s="63"/>
      <c r="H71" s="63"/>
      <c r="I71" s="63"/>
      <c r="J71" s="64"/>
      <c r="K71" s="65">
        <f>L71</f>
        <v>4422.2222222222226</v>
      </c>
      <c r="L71" s="64">
        <f>Q$4*60</f>
        <v>4422.2222222222226</v>
      </c>
      <c r="M71" s="65">
        <f>N71</f>
        <v>900</v>
      </c>
      <c r="N71" s="64">
        <f>M$7*60</f>
        <v>900</v>
      </c>
      <c r="O71" s="65">
        <f t="shared" si="21"/>
        <v>27433.333333333336</v>
      </c>
      <c r="P71" s="64">
        <f t="shared" si="22"/>
        <v>0</v>
      </c>
      <c r="Q71" s="104">
        <f t="shared" si="23"/>
        <v>1</v>
      </c>
      <c r="R71" s="65">
        <f t="shared" si="24"/>
        <v>1.6460000000000002E-2</v>
      </c>
      <c r="S71" s="63">
        <f t="shared" si="25"/>
        <v>0</v>
      </c>
      <c r="T71" s="64">
        <f t="shared" si="26"/>
        <v>5.9999999999999997E-7</v>
      </c>
      <c r="U71" s="85">
        <f t="shared" si="19"/>
        <v>2.3108203633159715E-7</v>
      </c>
      <c r="V71" s="188"/>
      <c r="W71" s="189"/>
      <c r="X71" s="190"/>
      <c r="Y71" s="191"/>
      <c r="Z71">
        <v>1</v>
      </c>
    </row>
    <row r="72" spans="1:28" x14ac:dyDescent="0.25">
      <c r="A72" s="47">
        <f t="shared" si="1"/>
        <v>56</v>
      </c>
      <c r="B72" s="47" t="s">
        <v>238</v>
      </c>
      <c r="C72" s="14">
        <v>3</v>
      </c>
      <c r="D72" s="65">
        <f>E72*0.11</f>
        <v>1.6969700000000001E-2</v>
      </c>
      <c r="E72" s="63">
        <f>E85+0.00027</f>
        <v>0.15426999999999999</v>
      </c>
      <c r="F72" s="63">
        <f>D72*E72</f>
        <v>2.6179156189999999E-3</v>
      </c>
      <c r="G72" s="63"/>
      <c r="H72" s="63"/>
      <c r="I72" s="63"/>
      <c r="J72" s="64"/>
      <c r="K72" s="65">
        <v>0</v>
      </c>
      <c r="L72" s="64">
        <f>Q$4*60</f>
        <v>4422.2222222222226</v>
      </c>
      <c r="M72" s="65">
        <v>3.93</v>
      </c>
      <c r="N72" s="64">
        <v>90</v>
      </c>
      <c r="O72" s="65">
        <f t="shared" si="21"/>
        <v>39.300000000000004</v>
      </c>
      <c r="P72" s="64">
        <f t="shared" si="22"/>
        <v>27394.033333333336</v>
      </c>
      <c r="Q72" s="104">
        <f t="shared" si="23"/>
        <v>1.4325637910085054E-3</v>
      </c>
      <c r="R72" s="65">
        <f t="shared" si="24"/>
        <v>0.1028840838267</v>
      </c>
      <c r="S72" s="63">
        <f t="shared" si="25"/>
        <v>0</v>
      </c>
      <c r="T72" s="64">
        <f t="shared" si="26"/>
        <v>3.7503311236950175E-6</v>
      </c>
      <c r="U72" s="86">
        <f t="shared" si="19"/>
        <v>1.444390254968686E-6</v>
      </c>
      <c r="V72" s="188"/>
      <c r="W72" s="189"/>
      <c r="X72" s="190"/>
      <c r="Y72" s="191"/>
      <c r="Z72">
        <v>1</v>
      </c>
    </row>
    <row r="73" spans="1:28" x14ac:dyDescent="0.25">
      <c r="A73" s="47">
        <f t="shared" si="1"/>
        <v>57</v>
      </c>
      <c r="B73" s="47" t="s">
        <v>239</v>
      </c>
      <c r="C73" s="14">
        <v>3</v>
      </c>
      <c r="D73" s="65">
        <f>E73*0.07</f>
        <v>5.3900000000000002E-5</v>
      </c>
      <c r="E73" s="63">
        <f>E87+0.00077</f>
        <v>7.6999999999999996E-4</v>
      </c>
      <c r="F73" s="63">
        <f>E73*D73</f>
        <v>4.1502999999999998E-8</v>
      </c>
      <c r="G73" s="63"/>
      <c r="H73" s="63"/>
      <c r="I73" s="63"/>
      <c r="J73" s="64"/>
      <c r="K73" s="65">
        <v>0.4</v>
      </c>
      <c r="L73" s="64">
        <v>15</v>
      </c>
      <c r="M73" s="65">
        <v>0</v>
      </c>
      <c r="N73" s="64">
        <v>15</v>
      </c>
      <c r="O73" s="65">
        <f t="shared" si="21"/>
        <v>707.55555555555566</v>
      </c>
      <c r="P73" s="64">
        <f t="shared" si="22"/>
        <v>26725.777777777781</v>
      </c>
      <c r="Q73" s="104">
        <f t="shared" si="23"/>
        <v>2.5791818550020253E-2</v>
      </c>
      <c r="R73" s="65">
        <f t="shared" si="24"/>
        <v>2.9365678222222223E-5</v>
      </c>
      <c r="S73" s="63">
        <f t="shared" si="25"/>
        <v>0</v>
      </c>
      <c r="T73" s="64">
        <f t="shared" si="26"/>
        <v>1.0704378452814905E-9</v>
      </c>
      <c r="U73" s="85">
        <f t="shared" si="19"/>
        <v>4.1226492842342329E-10</v>
      </c>
      <c r="V73" s="188"/>
      <c r="W73" s="189"/>
      <c r="X73" s="190"/>
      <c r="Y73" s="191"/>
      <c r="Z73">
        <v>1</v>
      </c>
    </row>
    <row r="74" spans="1:28" x14ac:dyDescent="0.25">
      <c r="A74" s="47">
        <f t="shared" si="1"/>
        <v>58</v>
      </c>
      <c r="B74" s="47" t="s">
        <v>240</v>
      </c>
      <c r="C74" s="14">
        <v>3</v>
      </c>
      <c r="D74" s="65">
        <f>E74*0.28</f>
        <v>2.1560000000000001E-4</v>
      </c>
      <c r="E74" s="63">
        <f>E46+0.00077</f>
        <v>7.6999999999999996E-4</v>
      </c>
      <c r="F74" s="63">
        <f>E74*D74</f>
        <v>1.6601199999999999E-7</v>
      </c>
      <c r="G74" s="63"/>
      <c r="H74" s="63"/>
      <c r="I74" s="63"/>
      <c r="J74" s="64"/>
      <c r="K74" s="65">
        <f>L74/2</f>
        <v>2211.1111111111113</v>
      </c>
      <c r="L74" s="64">
        <f t="shared" ref="L74:L79" si="27">Q$4*60</f>
        <v>4422.2222222222226</v>
      </c>
      <c r="M74" s="65">
        <v>0</v>
      </c>
      <c r="N74" s="64">
        <f t="shared" ref="N74:N81" si="28">M$7*60</f>
        <v>900</v>
      </c>
      <c r="O74" s="65">
        <f t="shared" si="21"/>
        <v>13266.666666666668</v>
      </c>
      <c r="P74" s="64">
        <f t="shared" si="22"/>
        <v>14166.666666666668</v>
      </c>
      <c r="Q74" s="104">
        <f t="shared" si="23"/>
        <v>0.48359659781287972</v>
      </c>
      <c r="R74" s="65">
        <f t="shared" si="24"/>
        <v>2.2024258666666669E-3</v>
      </c>
      <c r="S74" s="63">
        <f t="shared" si="25"/>
        <v>0</v>
      </c>
      <c r="T74" s="64">
        <f t="shared" si="26"/>
        <v>8.0282838396111794E-8</v>
      </c>
      <c r="U74" s="85">
        <f t="shared" si="19"/>
        <v>3.0919869631756747E-8</v>
      </c>
      <c r="V74" s="188"/>
      <c r="W74" s="189"/>
      <c r="X74" s="190"/>
      <c r="Y74" s="191"/>
      <c r="Z74">
        <v>1</v>
      </c>
    </row>
    <row r="75" spans="1:28" x14ac:dyDescent="0.25">
      <c r="A75" s="47">
        <f t="shared" si="1"/>
        <v>59</v>
      </c>
      <c r="B75" s="47" t="s">
        <v>241</v>
      </c>
      <c r="C75" s="14">
        <v>3</v>
      </c>
      <c r="D75" s="65">
        <f>E75*0.28</f>
        <v>2.1560000000000001E-4</v>
      </c>
      <c r="E75" s="63">
        <f>E92+0.00077</f>
        <v>7.6999999999999996E-4</v>
      </c>
      <c r="F75" s="63">
        <f>D75*E75</f>
        <v>1.6601199999999999E-7</v>
      </c>
      <c r="G75" s="63"/>
      <c r="H75" s="63"/>
      <c r="I75" s="63"/>
      <c r="J75" s="64"/>
      <c r="K75" s="65">
        <v>0</v>
      </c>
      <c r="L75" s="64">
        <f t="shared" si="27"/>
        <v>4422.2222222222226</v>
      </c>
      <c r="M75" s="65">
        <f>M92</f>
        <v>771</v>
      </c>
      <c r="N75" s="64">
        <f t="shared" si="28"/>
        <v>900</v>
      </c>
      <c r="O75" s="65">
        <f t="shared" si="21"/>
        <v>771</v>
      </c>
      <c r="P75" s="64">
        <f t="shared" si="22"/>
        <v>26662.333333333336</v>
      </c>
      <c r="Q75" s="104">
        <f t="shared" si="23"/>
        <v>2.8104495747266096E-2</v>
      </c>
      <c r="R75" s="65">
        <f t="shared" si="24"/>
        <v>1.2799525199999999E-4</v>
      </c>
      <c r="S75" s="63">
        <f t="shared" si="25"/>
        <v>0</v>
      </c>
      <c r="T75" s="64">
        <f t="shared" si="26"/>
        <v>4.6656835479951386E-9</v>
      </c>
      <c r="U75" s="85">
        <f>T75/T$15</f>
        <v>1.7969260919159129E-9</v>
      </c>
      <c r="V75" s="188"/>
      <c r="W75" s="189"/>
      <c r="X75" s="190"/>
      <c r="Y75" s="191"/>
      <c r="Z75">
        <v>1</v>
      </c>
    </row>
    <row r="76" spans="1:28" x14ac:dyDescent="0.25">
      <c r="A76" s="47">
        <f t="shared" si="1"/>
        <v>60</v>
      </c>
      <c r="B76" s="47" t="s">
        <v>242</v>
      </c>
      <c r="C76" s="14">
        <v>3</v>
      </c>
      <c r="D76" s="65">
        <f>E76*0.07</f>
        <v>6.5289000000000007E-3</v>
      </c>
      <c r="E76" s="63">
        <f>E81+0.00027</f>
        <v>9.3270000000000006E-2</v>
      </c>
      <c r="F76" s="63">
        <f>E76*D76</f>
        <v>6.0895050300000008E-4</v>
      </c>
      <c r="G76" s="63"/>
      <c r="H76" s="63"/>
      <c r="I76" s="63"/>
      <c r="J76" s="64"/>
      <c r="K76" s="65">
        <v>0</v>
      </c>
      <c r="L76" s="64">
        <f t="shared" si="27"/>
        <v>4422.2222222222226</v>
      </c>
      <c r="M76" s="65">
        <v>240</v>
      </c>
      <c r="N76" s="64">
        <f t="shared" si="28"/>
        <v>900</v>
      </c>
      <c r="O76" s="65">
        <f t="shared" si="21"/>
        <v>240</v>
      </c>
      <c r="P76" s="64">
        <f t="shared" si="22"/>
        <v>27193.333333333336</v>
      </c>
      <c r="Q76" s="104">
        <f t="shared" si="23"/>
        <v>8.7484811664641556E-3</v>
      </c>
      <c r="R76" s="65">
        <f t="shared" si="24"/>
        <v>0.14614812072000002</v>
      </c>
      <c r="S76" s="63">
        <f t="shared" si="25"/>
        <v>0</v>
      </c>
      <c r="T76" s="64">
        <f t="shared" si="26"/>
        <v>5.3273920068043747E-6</v>
      </c>
      <c r="U76" s="85">
        <f t="shared" si="19"/>
        <v>2.0517743221150481E-6</v>
      </c>
      <c r="V76" s="188"/>
      <c r="W76" s="189"/>
      <c r="X76" s="190"/>
      <c r="Y76" s="191"/>
      <c r="Z76">
        <v>1</v>
      </c>
    </row>
    <row r="77" spans="1:28" x14ac:dyDescent="0.25">
      <c r="A77" s="47">
        <f t="shared" si="1"/>
        <v>61</v>
      </c>
      <c r="B77" s="47" t="s">
        <v>243</v>
      </c>
      <c r="C77" s="14">
        <v>3</v>
      </c>
      <c r="D77" s="65">
        <f>E77*0.28</f>
        <v>5.0400000000000002E-3</v>
      </c>
      <c r="E77" s="63">
        <f>E94</f>
        <v>1.7999999999999999E-2</v>
      </c>
      <c r="F77" s="63">
        <f>E77*D77</f>
        <v>9.0719999999999999E-5</v>
      </c>
      <c r="G77" s="63"/>
      <c r="H77" s="63"/>
      <c r="I77" s="63"/>
      <c r="J77" s="64"/>
      <c r="K77" s="65">
        <v>0</v>
      </c>
      <c r="L77" s="64">
        <f t="shared" si="27"/>
        <v>4422.2222222222226</v>
      </c>
      <c r="M77" s="65">
        <f>M$7*60</f>
        <v>900</v>
      </c>
      <c r="N77" s="64">
        <f t="shared" si="28"/>
        <v>900</v>
      </c>
      <c r="O77" s="65">
        <f t="shared" si="21"/>
        <v>900</v>
      </c>
      <c r="P77" s="64">
        <f t="shared" si="22"/>
        <v>26533.333333333336</v>
      </c>
      <c r="Q77" s="104">
        <f t="shared" si="23"/>
        <v>3.2806804374240578E-2</v>
      </c>
      <c r="R77" s="65">
        <f t="shared" si="24"/>
        <v>8.1647999999999998E-2</v>
      </c>
      <c r="S77" s="63">
        <f t="shared" si="25"/>
        <v>0</v>
      </c>
      <c r="T77" s="64">
        <f t="shared" si="26"/>
        <v>2.9762332928311054E-6</v>
      </c>
      <c r="U77" s="85">
        <f>T77/T$15</f>
        <v>1.1462567498421776E-6</v>
      </c>
      <c r="V77" s="188"/>
      <c r="W77" s="189"/>
      <c r="X77" s="190"/>
      <c r="Y77" s="191"/>
      <c r="Z77">
        <v>1</v>
      </c>
    </row>
    <row r="78" spans="1:28" x14ac:dyDescent="0.25">
      <c r="A78" s="47">
        <f t="shared" si="1"/>
        <v>62</v>
      </c>
      <c r="B78" s="47" t="s">
        <v>244</v>
      </c>
      <c r="C78" s="14">
        <v>3</v>
      </c>
      <c r="D78" s="62">
        <f>$D$10</f>
        <v>10.8</v>
      </c>
      <c r="E78" s="68">
        <v>3.4799999999999998E-2</v>
      </c>
      <c r="F78" s="68">
        <f>D78*E78*0.2</f>
        <v>7.5168000000000013E-2</v>
      </c>
      <c r="G78" s="68"/>
      <c r="H78" s="68"/>
      <c r="I78" s="68"/>
      <c r="J78" s="69"/>
      <c r="K78" s="70">
        <v>0</v>
      </c>
      <c r="L78" s="69">
        <f t="shared" si="27"/>
        <v>4422.2222222222226</v>
      </c>
      <c r="M78" s="70">
        <f>M92</f>
        <v>771</v>
      </c>
      <c r="N78" s="69">
        <f t="shared" si="28"/>
        <v>900</v>
      </c>
      <c r="O78" s="70">
        <f t="shared" si="21"/>
        <v>771</v>
      </c>
      <c r="P78" s="69">
        <f t="shared" si="22"/>
        <v>26662.333333333336</v>
      </c>
      <c r="Q78" s="105">
        <f t="shared" si="23"/>
        <v>2.8104495747266096E-2</v>
      </c>
      <c r="R78" s="70">
        <f t="shared" si="24"/>
        <v>57.95452800000001</v>
      </c>
      <c r="S78" s="68">
        <f t="shared" si="25"/>
        <v>0</v>
      </c>
      <c r="T78" s="69">
        <f t="shared" si="26"/>
        <v>2.1125587363304984E-3</v>
      </c>
      <c r="U78" s="84">
        <f>T78/T$15</f>
        <v>8.136239577689287E-4</v>
      </c>
      <c r="V78" s="196"/>
      <c r="W78" s="197"/>
      <c r="X78" s="187"/>
      <c r="Y78" s="198"/>
      <c r="Z78">
        <v>1</v>
      </c>
      <c r="AA78" t="s">
        <v>245</v>
      </c>
    </row>
    <row r="79" spans="1:28" x14ac:dyDescent="0.25">
      <c r="A79" s="47">
        <f t="shared" si="1"/>
        <v>63</v>
      </c>
      <c r="B79" s="47" t="s">
        <v>246</v>
      </c>
      <c r="C79" s="14">
        <v>3</v>
      </c>
      <c r="D79" s="67">
        <v>3.3</v>
      </c>
      <c r="E79" s="68">
        <v>4.6899999999999997E-2</v>
      </c>
      <c r="F79" s="68">
        <f>E79*D79</f>
        <v>0.15476999999999999</v>
      </c>
      <c r="G79" s="68"/>
      <c r="H79" s="68"/>
      <c r="I79" s="68">
        <v>5.6299999999999996E-3</v>
      </c>
      <c r="J79" s="69">
        <f>I79*13</f>
        <v>7.3189999999999991E-2</v>
      </c>
      <c r="K79" s="70">
        <f>L79</f>
        <v>4422.2222222222226</v>
      </c>
      <c r="L79" s="69">
        <f t="shared" si="27"/>
        <v>4422.2222222222226</v>
      </c>
      <c r="M79" s="70">
        <f>N79</f>
        <v>900</v>
      </c>
      <c r="N79" s="69">
        <f t="shared" si="28"/>
        <v>900</v>
      </c>
      <c r="O79" s="70">
        <f t="shared" si="21"/>
        <v>27433.333333333336</v>
      </c>
      <c r="P79" s="69">
        <f t="shared" si="22"/>
        <v>0</v>
      </c>
      <c r="Q79" s="103">
        <f t="shared" si="23"/>
        <v>1</v>
      </c>
      <c r="R79" s="70">
        <f t="shared" si="24"/>
        <v>4245.857</v>
      </c>
      <c r="S79" s="68">
        <f t="shared" si="25"/>
        <v>0</v>
      </c>
      <c r="T79" s="69">
        <f t="shared" si="20"/>
        <v>0.15476999999999999</v>
      </c>
      <c r="U79" s="73">
        <f t="shared" si="19"/>
        <v>5.9607611271735486E-2</v>
      </c>
      <c r="V79" s="309"/>
      <c r="W79" s="310"/>
      <c r="X79" s="311"/>
      <c r="Y79" s="312"/>
      <c r="Z79">
        <f>IF('Glider Parameters'!$E$22="Coastal",E$122,E$123)</f>
        <v>1</v>
      </c>
      <c r="AB79" t="s">
        <v>247</v>
      </c>
    </row>
    <row r="80" spans="1:28" x14ac:dyDescent="0.25">
      <c r="A80" s="47">
        <f t="shared" si="1"/>
        <v>64</v>
      </c>
      <c r="B80" s="47" t="s">
        <v>248</v>
      </c>
      <c r="C80" s="14">
        <v>2</v>
      </c>
      <c r="D80" s="67">
        <v>5</v>
      </c>
      <c r="E80" s="68">
        <v>3.5000000000000001E-3</v>
      </c>
      <c r="F80" s="68">
        <f>D80*E80</f>
        <v>1.7500000000000002E-2</v>
      </c>
      <c r="G80" s="68"/>
      <c r="H80" s="68"/>
      <c r="I80" s="68">
        <v>0</v>
      </c>
      <c r="J80" s="69">
        <v>0</v>
      </c>
      <c r="K80" s="70">
        <v>7.0000000000000007E-2</v>
      </c>
      <c r="L80" s="69">
        <v>4</v>
      </c>
      <c r="M80" s="70">
        <v>0</v>
      </c>
      <c r="N80" s="69">
        <f t="shared" si="28"/>
        <v>900</v>
      </c>
      <c r="O80" s="70">
        <f t="shared" si="21"/>
        <v>464.33333333333343</v>
      </c>
      <c r="P80" s="69">
        <f t="shared" si="22"/>
        <v>26969.000000000004</v>
      </c>
      <c r="Q80" s="103">
        <f t="shared" si="23"/>
        <v>1.6925880923450792E-2</v>
      </c>
      <c r="R80" s="70">
        <f t="shared" si="24"/>
        <v>8.1258333333333361</v>
      </c>
      <c r="S80" s="68">
        <f t="shared" si="25"/>
        <v>0</v>
      </c>
      <c r="T80" s="69">
        <f t="shared" si="20"/>
        <v>2.9620291616038884E-4</v>
      </c>
      <c r="U80" s="73">
        <f t="shared" si="19"/>
        <v>1.1407862172283333E-4</v>
      </c>
      <c r="V80" s="309"/>
      <c r="W80" s="310"/>
      <c r="X80" s="311"/>
      <c r="Y80" s="312"/>
      <c r="Z80">
        <v>1</v>
      </c>
    </row>
    <row r="81" spans="1:28" x14ac:dyDescent="0.25">
      <c r="A81" s="47">
        <f t="shared" si="1"/>
        <v>65</v>
      </c>
      <c r="B81" s="47" t="s">
        <v>249</v>
      </c>
      <c r="C81" s="14">
        <v>2</v>
      </c>
      <c r="D81" s="67">
        <v>5</v>
      </c>
      <c r="E81" s="68">
        <v>9.2999999999999999E-2</v>
      </c>
      <c r="F81" s="68">
        <f>D81*E81</f>
        <v>0.46499999999999997</v>
      </c>
      <c r="G81" s="68"/>
      <c r="H81" s="68"/>
      <c r="I81" s="68">
        <v>0</v>
      </c>
      <c r="J81" s="69">
        <v>0</v>
      </c>
      <c r="K81" s="70">
        <v>0</v>
      </c>
      <c r="L81" s="69">
        <f>Q$4*60</f>
        <v>4422.2222222222226</v>
      </c>
      <c r="M81" s="70">
        <v>240</v>
      </c>
      <c r="N81" s="69">
        <f t="shared" si="28"/>
        <v>900</v>
      </c>
      <c r="O81" s="70">
        <f t="shared" si="21"/>
        <v>240</v>
      </c>
      <c r="P81" s="69">
        <f t="shared" si="22"/>
        <v>27193.333333333336</v>
      </c>
      <c r="Q81" s="103">
        <f t="shared" si="23"/>
        <v>8.7484811664641556E-3</v>
      </c>
      <c r="R81" s="70">
        <f t="shared" si="24"/>
        <v>111.6</v>
      </c>
      <c r="S81" s="68">
        <f t="shared" si="25"/>
        <v>0</v>
      </c>
      <c r="T81" s="69">
        <f t="shared" si="20"/>
        <v>4.0680437424058316E-3</v>
      </c>
      <c r="U81" s="71">
        <f t="shared" si="19"/>
        <v>1.5667530531352516E-3</v>
      </c>
      <c r="V81" s="309"/>
      <c r="W81" s="310"/>
      <c r="X81" s="311"/>
      <c r="Y81" s="312"/>
      <c r="Z81">
        <v>1</v>
      </c>
    </row>
    <row r="82" spans="1:28" x14ac:dyDescent="0.25">
      <c r="A82" s="47">
        <f t="shared" ref="A82:A96" si="29">A81+1</f>
        <v>66</v>
      </c>
      <c r="B82" s="47" t="s">
        <v>250</v>
      </c>
      <c r="C82" s="14">
        <v>2</v>
      </c>
      <c r="D82" s="87"/>
      <c r="E82" s="88"/>
      <c r="F82" s="88"/>
      <c r="G82" s="88"/>
      <c r="H82" s="88"/>
      <c r="I82" s="88"/>
      <c r="J82" s="89"/>
      <c r="K82" s="90"/>
      <c r="L82" s="89"/>
      <c r="M82" s="90"/>
      <c r="N82" s="89"/>
      <c r="O82" s="90"/>
      <c r="P82" s="89"/>
      <c r="Q82" s="101"/>
      <c r="R82" s="90">
        <f>SUM(R83:R84)</f>
        <v>600.22247333333348</v>
      </c>
      <c r="S82" s="88">
        <f>SUM(S83:S84)</f>
        <v>4.0752000000000008E-4</v>
      </c>
      <c r="T82" s="89">
        <f>SUM(T83:T84)</f>
        <v>2.1879327370109357E-2</v>
      </c>
      <c r="U82" s="91">
        <f t="shared" si="19"/>
        <v>8.426532537084197E-3</v>
      </c>
      <c r="V82" s="183"/>
      <c r="W82" s="184"/>
      <c r="X82" s="185"/>
      <c r="Y82" s="186"/>
      <c r="Z82">
        <v>1</v>
      </c>
    </row>
    <row r="83" spans="1:28" x14ac:dyDescent="0.25">
      <c r="A83" s="47">
        <f t="shared" si="29"/>
        <v>67</v>
      </c>
      <c r="B83" s="47" t="s">
        <v>251</v>
      </c>
      <c r="C83" s="14">
        <v>3</v>
      </c>
      <c r="D83" s="62">
        <f>$D$10</f>
        <v>10.8</v>
      </c>
      <c r="E83" s="68">
        <f>(-0.0032*M8+0.235)</f>
        <v>0.20939999999999998</v>
      </c>
      <c r="F83" s="68">
        <f>D83*E83</f>
        <v>2.26152</v>
      </c>
      <c r="G83" s="68"/>
      <c r="H83" s="68"/>
      <c r="I83" s="68">
        <v>1.0000000000000001E-9</v>
      </c>
      <c r="J83" s="69">
        <f>I83*15</f>
        <v>1.5000000000000002E-8</v>
      </c>
      <c r="K83" s="70">
        <v>1</v>
      </c>
      <c r="L83" s="69">
        <v>100</v>
      </c>
      <c r="M83" s="70">
        <v>0</v>
      </c>
      <c r="N83" s="69">
        <f>M$7*60</f>
        <v>900</v>
      </c>
      <c r="O83" s="70">
        <f>(Q$4*60*M$6)/L83*K83+M$7*60/N83*M83</f>
        <v>265.33333333333337</v>
      </c>
      <c r="P83" s="69">
        <f>(Q$4*M$6+M$7)*60-O83</f>
        <v>27168.000000000004</v>
      </c>
      <c r="Q83" s="103">
        <f>O83/(O83+P83)</f>
        <v>9.6719319562575939E-3</v>
      </c>
      <c r="R83" s="70">
        <f>F83*O83</f>
        <v>600.05664000000013</v>
      </c>
      <c r="S83" s="68">
        <f>J83*P83</f>
        <v>4.0752000000000008E-4</v>
      </c>
      <c r="T83" s="69">
        <f t="shared" ref="T83:T88" si="30">((S83+R83)/(Q$4*M$6+M$7)/60)*Z83</f>
        <v>2.1873282412636696E-2</v>
      </c>
      <c r="U83" s="73">
        <f t="shared" si="19"/>
        <v>8.4242044019469976E-3</v>
      </c>
      <c r="V83" s="309"/>
      <c r="W83" s="310"/>
      <c r="X83" s="311"/>
      <c r="Y83" s="312"/>
      <c r="Z83">
        <v>1</v>
      </c>
    </row>
    <row r="84" spans="1:28" x14ac:dyDescent="0.25">
      <c r="A84" s="47">
        <f t="shared" si="29"/>
        <v>68</v>
      </c>
      <c r="B84" s="47" t="s">
        <v>182</v>
      </c>
      <c r="C84" s="14">
        <v>3</v>
      </c>
      <c r="D84" s="62">
        <v>2.5</v>
      </c>
      <c r="E84" s="63">
        <v>2.5000000000000001E-4</v>
      </c>
      <c r="F84" s="63">
        <f>D84*E84</f>
        <v>6.2500000000000001E-4</v>
      </c>
      <c r="G84" s="63">
        <v>2.5000000000000001E-4</v>
      </c>
      <c r="H84" s="63">
        <v>6.2500000000000001E-4</v>
      </c>
      <c r="I84" s="63">
        <v>0</v>
      </c>
      <c r="J84" s="64">
        <v>0</v>
      </c>
      <c r="K84" s="65">
        <f>K83</f>
        <v>1</v>
      </c>
      <c r="L84" s="64">
        <f>L83</f>
        <v>100</v>
      </c>
      <c r="M84" s="65">
        <v>0</v>
      </c>
      <c r="N84" s="64">
        <f>M$7*60</f>
        <v>900</v>
      </c>
      <c r="O84" s="65">
        <f>(Q$4*60*M$6)/L84*K84+M$7*60/N84*M84</f>
        <v>265.33333333333337</v>
      </c>
      <c r="P84" s="64">
        <f>(Q$4*M$6+M$7)*60-O84</f>
        <v>27168.000000000004</v>
      </c>
      <c r="Q84" s="102">
        <f>O84/(O84+P84)</f>
        <v>9.6719319562575939E-3</v>
      </c>
      <c r="R84" s="65">
        <f>F84*O84</f>
        <v>0.16583333333333336</v>
      </c>
      <c r="S84" s="63">
        <f>J84*P84</f>
        <v>0</v>
      </c>
      <c r="T84" s="64">
        <f t="shared" si="30"/>
        <v>6.0449574726609962E-6</v>
      </c>
      <c r="U84" s="66">
        <f t="shared" ref="U84:U99" si="31">T84/T$15</f>
        <v>2.32813513720068E-6</v>
      </c>
      <c r="V84" s="305"/>
      <c r="W84" s="306"/>
      <c r="X84" s="307"/>
      <c r="Y84" s="308"/>
      <c r="Z84">
        <v>1</v>
      </c>
    </row>
    <row r="85" spans="1:28" x14ac:dyDescent="0.25">
      <c r="A85" s="47">
        <f t="shared" si="29"/>
        <v>69</v>
      </c>
      <c r="B85" s="47" t="s">
        <v>252</v>
      </c>
      <c r="C85" s="14">
        <v>2</v>
      </c>
      <c r="D85" s="62">
        <f>$D$10</f>
        <v>10.8</v>
      </c>
      <c r="E85" s="68">
        <v>0.154</v>
      </c>
      <c r="F85" s="68">
        <f>D85*E85</f>
        <v>1.6632</v>
      </c>
      <c r="G85" s="68"/>
      <c r="H85" s="68"/>
      <c r="I85" s="68">
        <v>0</v>
      </c>
      <c r="J85" s="69">
        <v>0</v>
      </c>
      <c r="K85" s="70">
        <v>0</v>
      </c>
      <c r="L85" s="69">
        <f>Q$4*60</f>
        <v>4422.2222222222226</v>
      </c>
      <c r="M85" s="70">
        <v>3.93</v>
      </c>
      <c r="N85" s="69">
        <v>90</v>
      </c>
      <c r="O85" s="70">
        <f>(Q$4*60*M$6)/L85*K85+M$7*60/N85*M85</f>
        <v>39.300000000000004</v>
      </c>
      <c r="P85" s="69">
        <f>(Q$4*M$6+M$7)*60-O85</f>
        <v>27394.033333333336</v>
      </c>
      <c r="Q85" s="103">
        <f>O85/(O85+P85)</f>
        <v>1.4325637910085054E-3</v>
      </c>
      <c r="R85" s="70">
        <f>F85*O85</f>
        <v>65.363760000000013</v>
      </c>
      <c r="S85" s="68">
        <f>J85*P85</f>
        <v>0</v>
      </c>
      <c r="T85" s="69">
        <f t="shared" si="30"/>
        <v>0</v>
      </c>
      <c r="U85" s="73">
        <f t="shared" si="31"/>
        <v>0</v>
      </c>
      <c r="V85" s="309"/>
      <c r="W85" s="310"/>
      <c r="X85" s="311"/>
      <c r="Y85" s="312"/>
      <c r="Z85">
        <f>'Glider Parameters'!F21</f>
        <v>0</v>
      </c>
    </row>
    <row r="86" spans="1:28" x14ac:dyDescent="0.25">
      <c r="A86" s="47">
        <f t="shared" si="29"/>
        <v>70</v>
      </c>
      <c r="B86" s="47" t="s">
        <v>253</v>
      </c>
      <c r="C86" s="14">
        <v>2</v>
      </c>
      <c r="D86" s="62">
        <f>$D$10</f>
        <v>10.8</v>
      </c>
      <c r="E86" s="63">
        <v>9.9999999999999995E-8</v>
      </c>
      <c r="F86" s="63">
        <f>E86*D86</f>
        <v>1.08E-6</v>
      </c>
      <c r="G86" s="63"/>
      <c r="H86" s="63"/>
      <c r="I86" s="63"/>
      <c r="J86" s="64"/>
      <c r="K86" s="65">
        <f>L86</f>
        <v>4422.2222222222226</v>
      </c>
      <c r="L86" s="64">
        <f>Q$4*60</f>
        <v>4422.2222222222226</v>
      </c>
      <c r="M86" s="65">
        <f>N86</f>
        <v>900</v>
      </c>
      <c r="N86" s="64">
        <f>M$7*60</f>
        <v>900</v>
      </c>
      <c r="O86" s="65">
        <f>(Q$4*60*M$6)/L86*K86+M$7*60/N86*M86</f>
        <v>27433.333333333336</v>
      </c>
      <c r="P86" s="64">
        <f>(Q$4*M$6+M$7)*60-O86</f>
        <v>0</v>
      </c>
      <c r="Q86" s="104">
        <f>O86/(O86+P86)</f>
        <v>1</v>
      </c>
      <c r="R86" s="65">
        <f>F86*O86</f>
        <v>2.9628000000000005E-2</v>
      </c>
      <c r="S86" s="63">
        <f>J86*P86</f>
        <v>0</v>
      </c>
      <c r="T86" s="64">
        <f>((S86+R86)/(Q$4*M$6+M$7)/60)*Z86</f>
        <v>1.08E-6</v>
      </c>
      <c r="U86" s="85">
        <f t="shared" si="31"/>
        <v>4.1594766539687492E-7</v>
      </c>
      <c r="V86" s="188"/>
      <c r="W86" s="189"/>
      <c r="X86" s="190"/>
      <c r="Y86" s="191"/>
      <c r="Z86">
        <v>1</v>
      </c>
    </row>
    <row r="87" spans="1:28" x14ac:dyDescent="0.25">
      <c r="A87" s="47">
        <f t="shared" si="29"/>
        <v>71</v>
      </c>
      <c r="B87" s="47" t="s">
        <v>254</v>
      </c>
      <c r="C87" s="14">
        <v>2</v>
      </c>
      <c r="D87" s="13"/>
      <c r="E87" s="53"/>
      <c r="F87" s="53"/>
      <c r="G87" s="53"/>
      <c r="H87" s="53"/>
      <c r="I87" s="53"/>
      <c r="J87" s="54"/>
      <c r="K87" s="55"/>
      <c r="L87" s="54"/>
      <c r="M87" s="55"/>
      <c r="N87" s="54"/>
      <c r="O87" s="55"/>
      <c r="P87" s="54"/>
      <c r="Q87" s="99"/>
      <c r="R87" s="55"/>
      <c r="S87" s="53"/>
      <c r="T87" s="54">
        <f t="shared" si="30"/>
        <v>0</v>
      </c>
      <c r="U87" s="76">
        <f t="shared" si="31"/>
        <v>0</v>
      </c>
      <c r="V87" s="317"/>
      <c r="W87" s="318"/>
      <c r="X87" s="319"/>
      <c r="Y87" s="320"/>
      <c r="Z87">
        <v>1</v>
      </c>
    </row>
    <row r="88" spans="1:28" x14ac:dyDescent="0.25">
      <c r="A88" s="47">
        <f t="shared" si="29"/>
        <v>72</v>
      </c>
      <c r="B88" s="47" t="s">
        <v>255</v>
      </c>
      <c r="C88" s="14">
        <v>2</v>
      </c>
      <c r="D88" s="67">
        <v>5</v>
      </c>
      <c r="E88" s="68">
        <v>1.4999999999999999E-2</v>
      </c>
      <c r="F88" s="68">
        <f>E88*D88</f>
        <v>7.4999999999999997E-2</v>
      </c>
      <c r="G88" s="68"/>
      <c r="H88" s="68"/>
      <c r="I88" s="68">
        <v>0</v>
      </c>
      <c r="J88" s="69">
        <f>I88*D88</f>
        <v>0</v>
      </c>
      <c r="K88" s="70">
        <v>0.15</v>
      </c>
      <c r="L88" s="69">
        <v>4</v>
      </c>
      <c r="M88" s="70">
        <f>K88</f>
        <v>0.15</v>
      </c>
      <c r="N88" s="69">
        <f>L88</f>
        <v>4</v>
      </c>
      <c r="O88" s="70">
        <f>(Q$4*60*M$6)/L88*K88+M$7*60/N88*M88</f>
        <v>1028.75</v>
      </c>
      <c r="P88" s="69">
        <f>(Q$4*M$6+M$7)*60-O88</f>
        <v>26404.583333333336</v>
      </c>
      <c r="Q88" s="103">
        <f>O88/(O88+P88)</f>
        <v>3.7499999999999999E-2</v>
      </c>
      <c r="R88" s="70">
        <f>F88*O88</f>
        <v>77.15625</v>
      </c>
      <c r="S88" s="68">
        <f>J88*P88</f>
        <v>0</v>
      </c>
      <c r="T88" s="69">
        <f t="shared" si="30"/>
        <v>2.8124999999999999E-3</v>
      </c>
      <c r="U88" s="73">
        <f t="shared" si="31"/>
        <v>1.0831970453043618E-3</v>
      </c>
      <c r="V88" s="309"/>
      <c r="W88" s="310"/>
      <c r="X88" s="311"/>
      <c r="Y88" s="312"/>
      <c r="Z88">
        <f>IF('Glider Parameters'!$E$22="Coastal",F$122,F$123)</f>
        <v>1</v>
      </c>
    </row>
    <row r="89" spans="1:28" x14ac:dyDescent="0.25">
      <c r="A89" s="47">
        <f t="shared" si="29"/>
        <v>73</v>
      </c>
      <c r="B89" s="47" t="s">
        <v>256</v>
      </c>
      <c r="C89" s="14">
        <v>2</v>
      </c>
      <c r="D89" s="87"/>
      <c r="E89" s="88"/>
      <c r="F89" s="88"/>
      <c r="G89" s="88"/>
      <c r="H89" s="88"/>
      <c r="I89" s="88"/>
      <c r="J89" s="89"/>
      <c r="K89" s="90"/>
      <c r="L89" s="89"/>
      <c r="M89" s="90"/>
      <c r="N89" s="89"/>
      <c r="O89" s="90"/>
      <c r="P89" s="89"/>
      <c r="Q89" s="101"/>
      <c r="R89" s="90">
        <f>SUM(R90:R92)</f>
        <v>138.43305000000001</v>
      </c>
      <c r="S89" s="88">
        <f>SUM(S90:S92)</f>
        <v>0</v>
      </c>
      <c r="T89" s="89">
        <f>SUM(T90:T92)</f>
        <v>5.0461622114216283E-3</v>
      </c>
      <c r="U89" s="91">
        <f t="shared" si="31"/>
        <v>1.9434623991247757E-3</v>
      </c>
      <c r="V89" s="183"/>
      <c r="W89" s="184"/>
      <c r="X89" s="185"/>
      <c r="Y89" s="186"/>
      <c r="Z89">
        <v>1</v>
      </c>
    </row>
    <row r="90" spans="1:28" x14ac:dyDescent="0.25">
      <c r="A90" s="47">
        <f t="shared" si="29"/>
        <v>74</v>
      </c>
      <c r="B90" s="47" t="s">
        <v>256</v>
      </c>
      <c r="C90" s="14">
        <v>3</v>
      </c>
      <c r="D90" s="62">
        <f>$D$10</f>
        <v>10.8</v>
      </c>
      <c r="E90" s="68">
        <v>9.9000000000000005E-2</v>
      </c>
      <c r="F90" s="68">
        <f t="shared" ref="F90:F95" si="32">D90*E90</f>
        <v>1.0692000000000002</v>
      </c>
      <c r="G90" s="68">
        <v>214.53378309648471</v>
      </c>
      <c r="H90" s="68">
        <v>2.1267833586407185</v>
      </c>
      <c r="I90" s="68">
        <v>0</v>
      </c>
      <c r="J90" s="69">
        <v>0</v>
      </c>
      <c r="K90" s="70">
        <v>0</v>
      </c>
      <c r="L90" s="69">
        <f>Q$4*60</f>
        <v>4422.2222222222226</v>
      </c>
      <c r="M90" s="70">
        <v>129</v>
      </c>
      <c r="N90" s="69">
        <f t="shared" ref="N90:N95" si="33">M$7*60</f>
        <v>900</v>
      </c>
      <c r="O90" s="70">
        <f t="shared" ref="O90:O95" si="34">(Q$4*60*M$6)/L90*K90+M$7*60/N90*M90</f>
        <v>129</v>
      </c>
      <c r="P90" s="69">
        <f t="shared" ref="P90:P95" si="35">(Q$4*M$6+M$7)*60-O90</f>
        <v>27304.333333333336</v>
      </c>
      <c r="Q90" s="103">
        <f t="shared" ref="Q90:Q95" si="36">O90/(O90+P90)</f>
        <v>4.7023086269744833E-3</v>
      </c>
      <c r="R90" s="70">
        <f t="shared" ref="R90:R95" si="37">F90*O90</f>
        <v>137.92680000000001</v>
      </c>
      <c r="S90" s="68">
        <f t="shared" ref="S90:S95" si="38">J90*P90</f>
        <v>0</v>
      </c>
      <c r="T90" s="69">
        <f t="shared" ref="T90:T99" si="39">((S90+R90)/(Q$4*M$6+M$7)/60)*Z90</f>
        <v>5.0277083839611178E-3</v>
      </c>
      <c r="U90" s="73">
        <f t="shared" si="31"/>
        <v>1.9363551524119644E-3</v>
      </c>
      <c r="V90" s="309"/>
      <c r="W90" s="310"/>
      <c r="X90" s="311"/>
      <c r="Y90" s="312"/>
      <c r="Z90">
        <v>1</v>
      </c>
    </row>
    <row r="91" spans="1:28" x14ac:dyDescent="0.25">
      <c r="A91" s="47">
        <f t="shared" si="29"/>
        <v>75</v>
      </c>
      <c r="B91" s="47" t="s">
        <v>257</v>
      </c>
      <c r="C91" s="14">
        <v>3</v>
      </c>
      <c r="D91" s="67">
        <v>6.75</v>
      </c>
      <c r="E91" s="68">
        <v>0.5</v>
      </c>
      <c r="F91" s="68">
        <f t="shared" si="32"/>
        <v>3.375</v>
      </c>
      <c r="G91" s="68">
        <v>0.5</v>
      </c>
      <c r="H91" s="68">
        <f>D91*G91</f>
        <v>3.375</v>
      </c>
      <c r="I91" s="68">
        <v>0</v>
      </c>
      <c r="J91" s="69">
        <v>0</v>
      </c>
      <c r="K91" s="70">
        <v>0</v>
      </c>
      <c r="L91" s="69">
        <f>Q$4*60</f>
        <v>4422.2222222222226</v>
      </c>
      <c r="M91" s="70">
        <v>0.15</v>
      </c>
      <c r="N91" s="69">
        <f t="shared" si="33"/>
        <v>900</v>
      </c>
      <c r="O91" s="70">
        <f t="shared" si="34"/>
        <v>0.15</v>
      </c>
      <c r="P91" s="69">
        <f t="shared" si="35"/>
        <v>27433.183333333334</v>
      </c>
      <c r="Q91" s="103">
        <f t="shared" si="36"/>
        <v>5.4678007290400968E-6</v>
      </c>
      <c r="R91" s="70">
        <f t="shared" si="37"/>
        <v>0.50624999999999998</v>
      </c>
      <c r="S91" s="68">
        <f t="shared" si="38"/>
        <v>0</v>
      </c>
      <c r="T91" s="69">
        <f t="shared" si="39"/>
        <v>1.8453827460510322E-5</v>
      </c>
      <c r="U91" s="73">
        <f t="shared" si="31"/>
        <v>7.10724671281112E-6</v>
      </c>
      <c r="V91" s="309"/>
      <c r="W91" s="310"/>
      <c r="X91" s="311"/>
      <c r="Y91" s="312"/>
      <c r="Z91">
        <v>1</v>
      </c>
    </row>
    <row r="92" spans="1:28" x14ac:dyDescent="0.25">
      <c r="A92" s="47">
        <f t="shared" si="29"/>
        <v>76</v>
      </c>
      <c r="B92" s="47" t="s">
        <v>258</v>
      </c>
      <c r="C92" s="14">
        <v>3</v>
      </c>
      <c r="D92" s="81">
        <v>13</v>
      </c>
      <c r="E92" s="82">
        <v>0</v>
      </c>
      <c r="F92" s="82">
        <f t="shared" si="32"/>
        <v>0</v>
      </c>
      <c r="G92" s="82"/>
      <c r="H92" s="82"/>
      <c r="I92" s="82"/>
      <c r="J92" s="83"/>
      <c r="K92" s="70">
        <v>0</v>
      </c>
      <c r="L92" s="69">
        <f>Q$4*M$6*60</f>
        <v>26533.333333333336</v>
      </c>
      <c r="M92" s="70">
        <f>N92-M90</f>
        <v>771</v>
      </c>
      <c r="N92" s="69">
        <f t="shared" si="33"/>
        <v>900</v>
      </c>
      <c r="O92" s="70">
        <f t="shared" si="34"/>
        <v>771</v>
      </c>
      <c r="P92" s="69">
        <f t="shared" si="35"/>
        <v>26662.333333333336</v>
      </c>
      <c r="Q92" s="105">
        <f t="shared" si="36"/>
        <v>2.8104495747266096E-2</v>
      </c>
      <c r="R92" s="70">
        <f t="shared" si="37"/>
        <v>0</v>
      </c>
      <c r="S92" s="68">
        <f t="shared" si="38"/>
        <v>0</v>
      </c>
      <c r="T92" s="69">
        <f t="shared" si="39"/>
        <v>0</v>
      </c>
      <c r="U92" s="84">
        <f t="shared" si="31"/>
        <v>0</v>
      </c>
      <c r="V92" s="196"/>
      <c r="W92" s="197"/>
      <c r="X92" s="187"/>
      <c r="Y92" s="198"/>
      <c r="Z92">
        <v>1</v>
      </c>
    </row>
    <row r="93" spans="1:28" x14ac:dyDescent="0.25">
      <c r="A93" s="47">
        <f t="shared" si="29"/>
        <v>77</v>
      </c>
      <c r="B93" s="47" t="s">
        <v>259</v>
      </c>
      <c r="C93" s="14">
        <v>2</v>
      </c>
      <c r="D93" s="67">
        <v>4.4000000000000004</v>
      </c>
      <c r="E93" s="68">
        <f>E78*D78*0.78/D93</f>
        <v>6.6626181818181821E-2</v>
      </c>
      <c r="F93" s="68">
        <f t="shared" si="32"/>
        <v>0.29315520000000006</v>
      </c>
      <c r="G93" s="68"/>
      <c r="H93" s="68"/>
      <c r="I93" s="68">
        <v>0</v>
      </c>
      <c r="J93" s="69">
        <f>I93*13</f>
        <v>0</v>
      </c>
      <c r="K93" s="70">
        <v>0</v>
      </c>
      <c r="L93" s="69">
        <f>Q$4*60</f>
        <v>4422.2222222222226</v>
      </c>
      <c r="M93" s="70">
        <f>M7*60-240</f>
        <v>660</v>
      </c>
      <c r="N93" s="69">
        <f t="shared" si="33"/>
        <v>900</v>
      </c>
      <c r="O93" s="70">
        <f t="shared" si="34"/>
        <v>660</v>
      </c>
      <c r="P93" s="69">
        <f t="shared" si="35"/>
        <v>26773.333333333336</v>
      </c>
      <c r="Q93" s="103">
        <f t="shared" si="36"/>
        <v>2.4058323207776424E-2</v>
      </c>
      <c r="R93" s="70">
        <f t="shared" si="37"/>
        <v>193.48243200000005</v>
      </c>
      <c r="S93" s="68">
        <f t="shared" si="38"/>
        <v>0</v>
      </c>
      <c r="T93" s="69">
        <f t="shared" si="39"/>
        <v>7.0528225516403413E-3</v>
      </c>
      <c r="U93" s="71">
        <f t="shared" si="31"/>
        <v>2.7163009951974354E-3</v>
      </c>
      <c r="V93" s="309"/>
      <c r="W93" s="310"/>
      <c r="X93" s="311"/>
      <c r="Y93" s="312"/>
      <c r="Z93">
        <v>1</v>
      </c>
      <c r="AA93" t="s">
        <v>260</v>
      </c>
    </row>
    <row r="94" spans="1:28" x14ac:dyDescent="0.25">
      <c r="A94" s="47">
        <f t="shared" si="29"/>
        <v>78</v>
      </c>
      <c r="B94" s="47" t="s">
        <v>261</v>
      </c>
      <c r="C94" s="14">
        <v>2</v>
      </c>
      <c r="D94" s="62">
        <f>$D$10</f>
        <v>10.8</v>
      </c>
      <c r="E94" s="63">
        <v>1.7999999999999999E-2</v>
      </c>
      <c r="F94" s="63">
        <f t="shared" si="32"/>
        <v>0.19439999999999999</v>
      </c>
      <c r="G94" s="63">
        <v>1.4E-2</v>
      </c>
      <c r="H94" s="63">
        <f>G94*10</f>
        <v>0.14000000000000001</v>
      </c>
      <c r="I94" s="63">
        <v>0</v>
      </c>
      <c r="J94" s="64">
        <v>0</v>
      </c>
      <c r="K94" s="65">
        <v>0</v>
      </c>
      <c r="L94" s="64">
        <f>Q$4*60</f>
        <v>4422.2222222222226</v>
      </c>
      <c r="M94" s="65">
        <f>M$7*60-240</f>
        <v>660</v>
      </c>
      <c r="N94" s="64">
        <f t="shared" si="33"/>
        <v>900</v>
      </c>
      <c r="O94" s="65">
        <f t="shared" si="34"/>
        <v>660</v>
      </c>
      <c r="P94" s="64">
        <f t="shared" si="35"/>
        <v>26773.333333333336</v>
      </c>
      <c r="Q94" s="102">
        <f t="shared" si="36"/>
        <v>2.4058323207776424E-2</v>
      </c>
      <c r="R94" s="65">
        <f t="shared" si="37"/>
        <v>128.304</v>
      </c>
      <c r="S94" s="63">
        <f t="shared" si="38"/>
        <v>0</v>
      </c>
      <c r="T94" s="64">
        <f t="shared" si="39"/>
        <v>4.6769380315917364E-3</v>
      </c>
      <c r="U94" s="66">
        <f t="shared" si="31"/>
        <v>1.8012606068948502E-3</v>
      </c>
      <c r="V94" s="305"/>
      <c r="W94" s="306"/>
      <c r="X94" s="307"/>
      <c r="Y94" s="308"/>
      <c r="Z94">
        <v>1</v>
      </c>
    </row>
    <row r="95" spans="1:28" x14ac:dyDescent="0.25">
      <c r="A95" s="47">
        <f t="shared" si="29"/>
        <v>79</v>
      </c>
      <c r="B95" s="47" t="s">
        <v>262</v>
      </c>
      <c r="C95" s="14">
        <v>2</v>
      </c>
      <c r="D95" s="62">
        <f>$D$10</f>
        <v>10.8</v>
      </c>
      <c r="E95" s="68">
        <v>0.17499999999999999</v>
      </c>
      <c r="F95" s="68">
        <f t="shared" si="32"/>
        <v>1.89</v>
      </c>
      <c r="G95" s="68"/>
      <c r="H95" s="68"/>
      <c r="I95" s="68">
        <v>0</v>
      </c>
      <c r="J95" s="69">
        <v>0</v>
      </c>
      <c r="K95" s="70">
        <v>0</v>
      </c>
      <c r="L95" s="69">
        <f>Q$4*60</f>
        <v>4422.2222222222226</v>
      </c>
      <c r="M95" s="70">
        <v>20</v>
      </c>
      <c r="N95" s="69">
        <f t="shared" si="33"/>
        <v>900</v>
      </c>
      <c r="O95" s="70">
        <f t="shared" si="34"/>
        <v>20</v>
      </c>
      <c r="P95" s="69">
        <f t="shared" si="35"/>
        <v>27413.333333333336</v>
      </c>
      <c r="Q95" s="103">
        <f t="shared" si="36"/>
        <v>7.2904009720534623E-4</v>
      </c>
      <c r="R95" s="70">
        <f t="shared" si="37"/>
        <v>37.799999999999997</v>
      </c>
      <c r="S95" s="68">
        <f t="shared" si="38"/>
        <v>0</v>
      </c>
      <c r="T95" s="69">
        <f t="shared" si="39"/>
        <v>1.3778857837181042E-3</v>
      </c>
      <c r="U95" s="71">
        <f t="shared" si="31"/>
        <v>5.3067442122323031E-4</v>
      </c>
      <c r="V95" s="309"/>
      <c r="W95" s="310"/>
      <c r="X95" s="311"/>
      <c r="Y95" s="312"/>
      <c r="Z95">
        <f>'Glider Parameters'!F20</f>
        <v>1</v>
      </c>
      <c r="AA95" t="s">
        <v>263</v>
      </c>
      <c r="AB95" t="s">
        <v>264</v>
      </c>
    </row>
    <row r="96" spans="1:28" x14ac:dyDescent="0.25">
      <c r="A96" s="47">
        <f t="shared" si="29"/>
        <v>80</v>
      </c>
      <c r="B96" s="49" t="s">
        <v>265</v>
      </c>
      <c r="C96" s="14">
        <v>2</v>
      </c>
      <c r="D96" s="34"/>
      <c r="E96" s="77"/>
      <c r="F96" s="77"/>
      <c r="G96" s="77"/>
      <c r="H96" s="77"/>
      <c r="I96" s="77"/>
      <c r="J96" s="37"/>
      <c r="K96" s="78"/>
      <c r="L96" s="37"/>
      <c r="M96" s="78"/>
      <c r="N96" s="37"/>
      <c r="O96" s="78"/>
      <c r="P96" s="37"/>
      <c r="Q96" s="106"/>
      <c r="R96" s="78"/>
      <c r="S96" s="77"/>
      <c r="T96" s="37">
        <f t="shared" si="39"/>
        <v>0</v>
      </c>
      <c r="U96" s="79">
        <f t="shared" si="31"/>
        <v>0</v>
      </c>
      <c r="V96" s="321"/>
      <c r="W96" s="322"/>
      <c r="X96" s="323"/>
      <c r="Y96" s="324"/>
      <c r="Z96">
        <v>1</v>
      </c>
    </row>
    <row r="97" spans="1:26" x14ac:dyDescent="0.25">
      <c r="B97" s="44" t="str">
        <f>'Glider Parameters'!D50</f>
        <v>UVP6</v>
      </c>
      <c r="C97" s="2"/>
      <c r="D97" s="70">
        <f>'Glider Parameters'!H50</f>
        <v>0</v>
      </c>
      <c r="E97" s="68">
        <f>'Glider Parameters'!I50</f>
        <v>0</v>
      </c>
      <c r="F97" s="68">
        <f>D97*E97</f>
        <v>0</v>
      </c>
      <c r="G97" s="68"/>
      <c r="H97" s="68"/>
      <c r="I97" s="68"/>
      <c r="J97" s="69"/>
      <c r="K97" s="70">
        <f>L97/(2-'Glider Parameters'!F$35)</f>
        <v>2211.1111111111113</v>
      </c>
      <c r="L97" s="69">
        <f>Q$4*60</f>
        <v>4422.2222222222226</v>
      </c>
      <c r="M97" s="70">
        <v>0</v>
      </c>
      <c r="N97" s="69">
        <f>M$7*60</f>
        <v>900</v>
      </c>
      <c r="O97" s="70">
        <f>(Q$4*60*M$6)/L97*K97+M$7*60/N97*M97</f>
        <v>13266.666666666668</v>
      </c>
      <c r="P97" s="69">
        <f>(Q$4*M$6+M$7)*60-O97</f>
        <v>14166.666666666668</v>
      </c>
      <c r="Q97" s="103">
        <f>O97/(O97+P97)</f>
        <v>0.48359659781287972</v>
      </c>
      <c r="R97" s="70">
        <f>F97*O97</f>
        <v>0</v>
      </c>
      <c r="S97" s="68">
        <f>J97*P97</f>
        <v>0</v>
      </c>
      <c r="T97" s="69">
        <f t="shared" si="39"/>
        <v>0</v>
      </c>
      <c r="U97" s="73">
        <f t="shared" si="31"/>
        <v>0</v>
      </c>
      <c r="V97" s="309">
        <f>'Glider Parameters'!J50</f>
        <v>0</v>
      </c>
      <c r="W97" s="310">
        <f>'Glider Parameters'!K50</f>
        <v>0</v>
      </c>
      <c r="X97" s="187">
        <f>Y97/Q7</f>
        <v>0</v>
      </c>
      <c r="Y97" s="198">
        <f>IF(W97=0,0,O97*V97*Z97/(1000*W97))</f>
        <v>0</v>
      </c>
      <c r="Z97">
        <f>'Glider Parameters'!F50</f>
        <v>1</v>
      </c>
    </row>
    <row r="98" spans="1:26" x14ac:dyDescent="0.25">
      <c r="B98" s="47" t="str">
        <f>'Glider Parameters'!D51</f>
        <v>EK80</v>
      </c>
      <c r="C98" s="2"/>
      <c r="D98" s="70">
        <f>'Glider Parameters'!H51</f>
        <v>0</v>
      </c>
      <c r="E98" s="68">
        <f>'Glider Parameters'!I51</f>
        <v>0</v>
      </c>
      <c r="F98" s="68">
        <f>D98*E98</f>
        <v>0</v>
      </c>
      <c r="G98" s="68"/>
      <c r="H98" s="68"/>
      <c r="I98" s="68"/>
      <c r="J98" s="69"/>
      <c r="K98" s="70">
        <f>L98/(2-'Glider Parameters'!F$35)</f>
        <v>2211.1111111111113</v>
      </c>
      <c r="L98" s="69">
        <f>Q$4*60</f>
        <v>4422.2222222222226</v>
      </c>
      <c r="M98" s="70">
        <v>0</v>
      </c>
      <c r="N98" s="69">
        <f>M$7*60</f>
        <v>900</v>
      </c>
      <c r="O98" s="70">
        <f>(Q$4*60*M$6)/L98*K98+M$7*60/N98*M98</f>
        <v>13266.666666666668</v>
      </c>
      <c r="P98" s="69">
        <f>(Q$4*M$6+M$7)*60-O98</f>
        <v>14166.666666666668</v>
      </c>
      <c r="Q98" s="103">
        <f>O98/(O98+P98)</f>
        <v>0.48359659781287972</v>
      </c>
      <c r="R98" s="70">
        <f>F98*O98</f>
        <v>0</v>
      </c>
      <c r="S98" s="68">
        <f>J98*P98</f>
        <v>0</v>
      </c>
      <c r="T98" s="69">
        <f t="shared" si="39"/>
        <v>0</v>
      </c>
      <c r="U98" s="73">
        <f t="shared" si="31"/>
        <v>0</v>
      </c>
      <c r="V98" s="309">
        <f>'Glider Parameters'!J51</f>
        <v>0</v>
      </c>
      <c r="W98" s="310">
        <f>'Glider Parameters'!K51</f>
        <v>0</v>
      </c>
      <c r="X98" s="187">
        <f>Y98/Q8</f>
        <v>0</v>
      </c>
      <c r="Y98" s="198">
        <f>IF(W98=0,0,O98*V98*Z98/(1000*W98))</f>
        <v>0</v>
      </c>
      <c r="Z98">
        <f>'Glider Parameters'!F51</f>
        <v>1</v>
      </c>
    </row>
    <row r="99" spans="1:26" x14ac:dyDescent="0.25">
      <c r="B99" s="49" t="str">
        <f>'Glider Parameters'!D52</f>
        <v>Hydrophone</v>
      </c>
      <c r="C99" s="2"/>
      <c r="D99" s="70">
        <f>'Glider Parameters'!H52</f>
        <v>0</v>
      </c>
      <c r="E99" s="68">
        <f>'Glider Parameters'!I52</f>
        <v>0</v>
      </c>
      <c r="F99" s="68">
        <f>D99*E99</f>
        <v>0</v>
      </c>
      <c r="G99" s="68"/>
      <c r="H99" s="68"/>
      <c r="I99" s="68"/>
      <c r="J99" s="69"/>
      <c r="K99" s="70">
        <f>L99/(2-'Glider Parameters'!F$35)</f>
        <v>2211.1111111111113</v>
      </c>
      <c r="L99" s="69">
        <f>Q$4*60</f>
        <v>4422.2222222222226</v>
      </c>
      <c r="M99" s="70">
        <v>0</v>
      </c>
      <c r="N99" s="69">
        <f>M$7*60</f>
        <v>900</v>
      </c>
      <c r="O99" s="70">
        <f>(Q$4*60*M$6)/L99*K99+M$7*60/N99*M99</f>
        <v>13266.666666666668</v>
      </c>
      <c r="P99" s="69">
        <f>(Q$4*M$6+M$7)*60-O99</f>
        <v>14166.666666666668</v>
      </c>
      <c r="Q99" s="103">
        <f>O99/(O99+P99)</f>
        <v>0.48359659781287972</v>
      </c>
      <c r="R99" s="70">
        <f>F99*O99</f>
        <v>0</v>
      </c>
      <c r="S99" s="68">
        <f>J99*P99</f>
        <v>0</v>
      </c>
      <c r="T99" s="69">
        <f t="shared" si="39"/>
        <v>0</v>
      </c>
      <c r="U99" s="73">
        <f t="shared" si="31"/>
        <v>0</v>
      </c>
      <c r="V99" s="309">
        <f>'Glider Parameters'!J52</f>
        <v>0</v>
      </c>
      <c r="W99" s="310">
        <f>'Glider Parameters'!K52</f>
        <v>0</v>
      </c>
      <c r="X99" s="187">
        <f>Y99/Q9</f>
        <v>0</v>
      </c>
      <c r="Y99" s="198">
        <f>IF(W99=0,0,O99*V99*Z99/(1000*W99))</f>
        <v>0</v>
      </c>
      <c r="Z99">
        <f>'Glider Parameters'!F52</f>
        <v>1</v>
      </c>
    </row>
    <row r="100" spans="1:26" x14ac:dyDescent="0.25">
      <c r="C100" s="2"/>
      <c r="D100"/>
      <c r="E100"/>
      <c r="F100"/>
      <c r="G100"/>
      <c r="H100"/>
      <c r="I100"/>
      <c r="J100"/>
      <c r="K100"/>
      <c r="Q100" s="53"/>
    </row>
    <row r="101" spans="1:26" ht="13" x14ac:dyDescent="0.3">
      <c r="B101" s="44"/>
      <c r="C101" s="6"/>
      <c r="D101" s="241"/>
      <c r="E101" s="241"/>
      <c r="F101" s="241"/>
      <c r="G101" s="241"/>
      <c r="H101" s="241"/>
      <c r="I101" s="241"/>
      <c r="J101" s="241"/>
      <c r="K101" s="242"/>
      <c r="L101" s="53"/>
      <c r="M101" s="53"/>
      <c r="N101" s="259" t="s">
        <v>266</v>
      </c>
      <c r="O101" s="260"/>
      <c r="P101" s="260"/>
      <c r="Q101" s="260"/>
      <c r="R101" s="261"/>
    </row>
    <row r="102" spans="1:26" ht="13" x14ac:dyDescent="0.3">
      <c r="B102" s="47" t="s">
        <v>267</v>
      </c>
      <c r="D102" s="53" t="s">
        <v>268</v>
      </c>
      <c r="E102" s="53" t="s">
        <v>269</v>
      </c>
      <c r="F102" s="53" t="s">
        <v>270</v>
      </c>
      <c r="G102" s="53" t="s">
        <v>271</v>
      </c>
      <c r="H102" s="53" t="s">
        <v>272</v>
      </c>
      <c r="I102" s="53" t="s">
        <v>273</v>
      </c>
      <c r="J102" s="53" t="s">
        <v>273</v>
      </c>
      <c r="K102" s="251" t="s">
        <v>274</v>
      </c>
      <c r="L102" s="53"/>
      <c r="M102" s="53"/>
      <c r="N102" s="245"/>
      <c r="O102" s="246" t="s">
        <v>275</v>
      </c>
      <c r="P102" s="247"/>
      <c r="Q102" s="247"/>
      <c r="R102" s="252">
        <f>I106*H106/100</f>
        <v>0</v>
      </c>
    </row>
    <row r="103" spans="1:26" x14ac:dyDescent="0.25">
      <c r="B103" s="47"/>
      <c r="D103" s="53" t="s">
        <v>276</v>
      </c>
      <c r="E103" s="53" t="s">
        <v>276</v>
      </c>
      <c r="F103" s="53" t="s">
        <v>276</v>
      </c>
      <c r="G103" s="53" t="s">
        <v>277</v>
      </c>
      <c r="H103" s="53" t="s">
        <v>278</v>
      </c>
      <c r="I103" s="53" t="s">
        <v>279</v>
      </c>
      <c r="J103" s="53" t="s">
        <v>280</v>
      </c>
      <c r="K103" s="251" t="s">
        <v>281</v>
      </c>
      <c r="L103" s="53"/>
      <c r="M103" s="53"/>
      <c r="N103" s="248"/>
      <c r="O103" s="246" t="s">
        <v>282</v>
      </c>
      <c r="P103" s="247"/>
      <c r="Q103" s="247"/>
      <c r="R103" s="252">
        <f>J106*H106/100</f>
        <v>0</v>
      </c>
    </row>
    <row r="104" spans="1:26" x14ac:dyDescent="0.25">
      <c r="B104" s="49"/>
      <c r="C104" s="116"/>
      <c r="D104" s="77" t="s">
        <v>164</v>
      </c>
      <c r="E104" s="77" t="s">
        <v>164</v>
      </c>
      <c r="F104" s="77" t="s">
        <v>164</v>
      </c>
      <c r="G104" s="243" t="s">
        <v>283</v>
      </c>
      <c r="H104" s="77" t="s">
        <v>169</v>
      </c>
      <c r="I104" s="77" t="s">
        <v>173</v>
      </c>
      <c r="J104" s="77" t="s">
        <v>173</v>
      </c>
      <c r="K104" s="253" t="s">
        <v>284</v>
      </c>
      <c r="L104" s="53"/>
      <c r="M104" s="53"/>
      <c r="N104" s="248"/>
      <c r="O104" s="246" t="s">
        <v>285</v>
      </c>
      <c r="P104" s="247"/>
      <c r="Q104" s="247"/>
      <c r="R104" s="252">
        <f xml:space="preserve"> CEILING(R102/256,1)*2</f>
        <v>0</v>
      </c>
    </row>
    <row r="105" spans="1:26" x14ac:dyDescent="0.25">
      <c r="B105" s="47"/>
      <c r="D105" s="53"/>
      <c r="E105" s="53"/>
      <c r="F105" s="53"/>
      <c r="G105" s="53"/>
      <c r="H105" s="53"/>
      <c r="I105" s="53"/>
      <c r="J105" s="53"/>
      <c r="K105" s="54"/>
      <c r="L105" s="53"/>
      <c r="M105" s="53"/>
      <c r="N105" s="248"/>
      <c r="O105" s="246" t="s">
        <v>286</v>
      </c>
      <c r="P105" s="247"/>
      <c r="Q105" s="247"/>
      <c r="R105" s="252">
        <f xml:space="preserve"> CEILING(R103/256,1)*2</f>
        <v>0</v>
      </c>
    </row>
    <row r="106" spans="1:26" x14ac:dyDescent="0.25">
      <c r="A106">
        <v>1</v>
      </c>
      <c r="B106" s="159" t="s">
        <v>287</v>
      </c>
      <c r="D106" s="244">
        <v>0.7</v>
      </c>
      <c r="E106" s="244">
        <v>20</v>
      </c>
      <c r="F106" s="244">
        <v>1.6799999999999999E-2</v>
      </c>
      <c r="G106" s="244">
        <v>460</v>
      </c>
      <c r="H106" s="244">
        <v>30</v>
      </c>
      <c r="I106" s="53">
        <f xml:space="preserve"> 'Glider Parameters'!K35</f>
        <v>0</v>
      </c>
      <c r="J106" s="53">
        <f xml:space="preserve"> 'Glider Parameters'!K36</f>
        <v>0</v>
      </c>
      <c r="K106" s="251">
        <f xml:space="preserve"> 'Glider Parameters'!K37</f>
        <v>1</v>
      </c>
      <c r="L106" s="53"/>
      <c r="M106" s="53"/>
      <c r="N106" s="248"/>
      <c r="O106" s="246" t="s">
        <v>288</v>
      </c>
      <c r="P106" s="247"/>
      <c r="Q106" s="247"/>
      <c r="R106" s="252">
        <f xml:space="preserve"> I106 + R102 + R104</f>
        <v>0</v>
      </c>
    </row>
    <row r="107" spans="1:26" x14ac:dyDescent="0.25">
      <c r="B107" s="49"/>
      <c r="C107" s="116"/>
      <c r="D107" s="77"/>
      <c r="E107" s="77"/>
      <c r="F107" s="77"/>
      <c r="G107" s="77"/>
      <c r="H107" s="77"/>
      <c r="I107" s="77"/>
      <c r="J107" s="77"/>
      <c r="K107" s="37"/>
      <c r="L107" s="53"/>
      <c r="M107" s="53"/>
      <c r="N107" s="248"/>
      <c r="O107" s="246" t="s">
        <v>289</v>
      </c>
      <c r="P107" s="247"/>
      <c r="Q107" s="247"/>
      <c r="R107" s="252">
        <f xml:space="preserve"> J106 + R103 + R135</f>
        <v>0</v>
      </c>
    </row>
    <row r="108" spans="1:26" x14ac:dyDescent="0.25">
      <c r="D108" s="53"/>
      <c r="E108" s="53"/>
      <c r="F108" s="53"/>
      <c r="G108" s="53"/>
      <c r="H108" s="53"/>
      <c r="I108" s="53"/>
      <c r="J108" s="53"/>
      <c r="K108" s="53"/>
      <c r="L108" s="53"/>
      <c r="M108" s="53"/>
      <c r="N108" s="248"/>
      <c r="O108" s="246" t="s">
        <v>290</v>
      </c>
      <c r="P108" s="247"/>
      <c r="Q108" s="247"/>
      <c r="R108" s="252">
        <f>R106/(G106/8)</f>
        <v>0</v>
      </c>
    </row>
    <row r="109" spans="1:26" x14ac:dyDescent="0.25">
      <c r="D109" s="53"/>
      <c r="E109" s="53"/>
      <c r="F109" s="53"/>
      <c r="G109" s="53"/>
      <c r="H109" s="53"/>
      <c r="I109" s="53"/>
      <c r="J109" s="53"/>
      <c r="K109" s="53"/>
      <c r="L109" s="53"/>
      <c r="M109" s="53"/>
      <c r="N109" s="248"/>
      <c r="O109" s="246" t="s">
        <v>291</v>
      </c>
      <c r="P109" s="247"/>
      <c r="Q109" s="247"/>
      <c r="R109" s="252">
        <f>R107/(G106/8)</f>
        <v>0</v>
      </c>
    </row>
    <row r="110" spans="1:26" x14ac:dyDescent="0.25">
      <c r="D110" s="53"/>
      <c r="E110" s="53"/>
      <c r="F110" s="53"/>
      <c r="G110" s="53"/>
      <c r="H110" s="53"/>
      <c r="I110" s="53"/>
      <c r="J110" s="53"/>
      <c r="K110" s="53"/>
      <c r="L110" s="53"/>
      <c r="M110" s="53"/>
      <c r="N110" s="262" t="s">
        <v>292</v>
      </c>
      <c r="O110" s="263"/>
      <c r="P110" s="264"/>
      <c r="Q110" s="264"/>
      <c r="R110" s="171">
        <f xml:space="preserve"> (24/K106) * (R106/1000)</f>
        <v>0</v>
      </c>
    </row>
    <row r="111" spans="1:26" x14ac:dyDescent="0.25">
      <c r="D111" s="53"/>
      <c r="E111" s="279" t="s">
        <v>293</v>
      </c>
      <c r="F111" s="53"/>
      <c r="G111" s="53"/>
      <c r="H111" s="53"/>
      <c r="I111" s="53"/>
      <c r="J111" s="53"/>
      <c r="K111" s="53"/>
      <c r="L111" s="53"/>
      <c r="M111" s="53"/>
      <c r="N111" s="266" t="s">
        <v>294</v>
      </c>
      <c r="O111" s="265"/>
      <c r="P111" s="265"/>
      <c r="Q111" s="265"/>
      <c r="R111" s="208">
        <f xml:space="preserve"> (24/K106)*((D106*R108) + (E106*R109))</f>
        <v>0</v>
      </c>
    </row>
    <row r="112" spans="1:26" x14ac:dyDescent="0.25">
      <c r="D112" s="53"/>
      <c r="E112" s="279" t="s">
        <v>295</v>
      </c>
      <c r="F112" s="53">
        <v>0.18</v>
      </c>
      <c r="G112" s="53"/>
      <c r="H112" s="53"/>
      <c r="I112" s="53"/>
      <c r="J112" s="53"/>
      <c r="K112" s="53"/>
      <c r="L112" s="53"/>
      <c r="M112" s="53"/>
      <c r="N112" s="249" t="s">
        <v>296</v>
      </c>
      <c r="O112" s="267"/>
      <c r="P112" s="250"/>
      <c r="Q112" s="250"/>
      <c r="R112" s="175">
        <f xml:space="preserve"> R111 / 86400</f>
        <v>0</v>
      </c>
    </row>
    <row r="113" spans="4:17" x14ac:dyDescent="0.25">
      <c r="D113" s="53"/>
      <c r="E113" s="279" t="s">
        <v>297</v>
      </c>
      <c r="F113" s="53">
        <f>MIN('Glider Parameters'!F9,'Glider Model'!F112)</f>
        <v>0.09</v>
      </c>
      <c r="G113" s="53"/>
      <c r="H113" s="53"/>
      <c r="I113" s="53"/>
      <c r="J113" s="53"/>
      <c r="K113" s="53"/>
      <c r="L113" s="53"/>
      <c r="M113" s="53"/>
      <c r="N113" s="53"/>
      <c r="O113" s="53"/>
      <c r="P113" s="53"/>
      <c r="Q113" s="53"/>
    </row>
    <row r="114" spans="4:17" x14ac:dyDescent="0.25">
      <c r="D114" s="53"/>
      <c r="E114" s="2" t="s">
        <v>298</v>
      </c>
      <c r="F114" s="2">
        <v>0.4</v>
      </c>
      <c r="G114" s="53"/>
      <c r="H114" s="53"/>
      <c r="I114" s="53"/>
      <c r="J114" s="53"/>
      <c r="K114" s="53"/>
      <c r="L114" s="53"/>
      <c r="M114" s="53"/>
      <c r="N114" s="53"/>
      <c r="O114" s="53"/>
      <c r="P114" s="53"/>
      <c r="Q114" s="53"/>
    </row>
    <row r="115" spans="4:17" x14ac:dyDescent="0.25">
      <c r="D115" s="53"/>
      <c r="E115" s="2" t="s">
        <v>299</v>
      </c>
      <c r="F115" s="53">
        <f>F113+(F112-F113)*F114</f>
        <v>0.126</v>
      </c>
      <c r="G115" s="53"/>
      <c r="H115" s="53"/>
      <c r="I115" s="53"/>
      <c r="J115" s="53"/>
      <c r="K115" s="53"/>
      <c r="L115" s="53"/>
      <c r="M115" s="53"/>
      <c r="N115" s="53"/>
      <c r="O115" s="53"/>
      <c r="P115" s="53"/>
      <c r="Q115" s="53"/>
    </row>
    <row r="116" spans="4:17" x14ac:dyDescent="0.25">
      <c r="D116" s="53"/>
      <c r="E116" s="279" t="s">
        <v>300</v>
      </c>
      <c r="F116" s="53">
        <f>SQRT(F115/F112)</f>
        <v>0.83666002653407556</v>
      </c>
      <c r="G116" s="53"/>
      <c r="H116" s="53"/>
      <c r="I116" s="53"/>
      <c r="J116" s="53"/>
      <c r="K116" s="53"/>
      <c r="L116" s="53"/>
      <c r="M116" s="53"/>
      <c r="N116" s="53"/>
      <c r="O116" s="53"/>
      <c r="P116" s="53"/>
      <c r="Q116" s="53"/>
    </row>
    <row r="117" spans="4:17" x14ac:dyDescent="0.25">
      <c r="D117" s="53"/>
      <c r="E117" s="279" t="s">
        <v>301</v>
      </c>
      <c r="F117" s="53">
        <v>520</v>
      </c>
      <c r="G117" s="53"/>
      <c r="H117" s="53"/>
      <c r="I117" s="53"/>
      <c r="J117" s="53"/>
      <c r="K117" s="53"/>
      <c r="L117" s="53"/>
      <c r="M117" s="53"/>
      <c r="N117" s="53"/>
      <c r="O117" s="53"/>
      <c r="P117" s="53"/>
      <c r="Q117" s="53"/>
    </row>
    <row r="118" spans="4:17" x14ac:dyDescent="0.25">
      <c r="D118" s="53"/>
      <c r="E118" s="279"/>
      <c r="F118" s="53"/>
      <c r="G118" s="53"/>
      <c r="H118" s="53"/>
      <c r="I118" s="53"/>
      <c r="J118" s="53"/>
      <c r="K118" s="53"/>
      <c r="L118" s="53"/>
      <c r="M118" s="53"/>
      <c r="N118" s="53"/>
      <c r="O118" s="53"/>
      <c r="P118" s="53"/>
      <c r="Q118" s="53"/>
    </row>
    <row r="119" spans="4:17" x14ac:dyDescent="0.25">
      <c r="D119" s="53"/>
      <c r="E119" s="279"/>
      <c r="F119" s="53"/>
      <c r="G119" s="53"/>
      <c r="H119" s="53"/>
      <c r="I119" s="53"/>
      <c r="J119" s="53"/>
      <c r="K119" s="53"/>
      <c r="L119" s="53"/>
      <c r="M119" s="53"/>
      <c r="N119" s="53"/>
      <c r="O119" s="53"/>
      <c r="P119" s="53"/>
      <c r="Q119" s="53"/>
    </row>
    <row r="120" spans="4:17" x14ac:dyDescent="0.25">
      <c r="E120" s="53"/>
      <c r="F120" s="53"/>
      <c r="G120" s="53"/>
      <c r="H120" s="53"/>
      <c r="I120" s="53"/>
      <c r="J120" s="53"/>
      <c r="K120" s="53"/>
      <c r="L120" s="53"/>
      <c r="M120" s="53"/>
      <c r="N120" s="53"/>
      <c r="O120" s="53"/>
      <c r="P120" s="53"/>
      <c r="Q120" s="53"/>
    </row>
    <row r="121" spans="4:17" x14ac:dyDescent="0.25">
      <c r="D121" s="270" t="s">
        <v>302</v>
      </c>
      <c r="E121" s="270" t="s">
        <v>303</v>
      </c>
      <c r="F121" s="270" t="s">
        <v>304</v>
      </c>
      <c r="G121" s="270" t="s">
        <v>56</v>
      </c>
      <c r="H121" s="53"/>
      <c r="I121" s="53"/>
      <c r="J121" s="53"/>
      <c r="K121" s="53"/>
      <c r="L121" s="53"/>
      <c r="M121" s="53"/>
      <c r="N121" s="53"/>
      <c r="O121" s="53"/>
      <c r="P121" s="53"/>
      <c r="Q121" s="53"/>
    </row>
    <row r="122" spans="4:17" x14ac:dyDescent="0.25">
      <c r="D122" s="269" t="s">
        <v>62</v>
      </c>
      <c r="E122" s="23">
        <v>1</v>
      </c>
      <c r="F122" s="23">
        <v>1</v>
      </c>
      <c r="G122" s="23">
        <v>1</v>
      </c>
      <c r="H122" s="53"/>
      <c r="I122" s="53"/>
      <c r="J122" s="53"/>
      <c r="K122" s="53"/>
      <c r="L122" s="53"/>
      <c r="M122" s="53"/>
      <c r="N122" s="53"/>
      <c r="O122" s="53"/>
      <c r="P122" s="53"/>
      <c r="Q122" s="53"/>
    </row>
    <row r="123" spans="4:17" x14ac:dyDescent="0.25">
      <c r="D123" s="269" t="s">
        <v>305</v>
      </c>
      <c r="E123" s="23">
        <v>0.2</v>
      </c>
      <c r="F123" s="23">
        <v>0.2</v>
      </c>
      <c r="G123" s="23">
        <v>0.4</v>
      </c>
      <c r="H123" s="53"/>
      <c r="I123" s="53"/>
      <c r="J123" s="53"/>
      <c r="K123" s="53"/>
      <c r="L123" s="53"/>
      <c r="M123" s="53"/>
      <c r="N123" s="53"/>
      <c r="O123" s="53"/>
      <c r="P123" s="53"/>
      <c r="Q123" s="53"/>
    </row>
    <row r="124" spans="4:17" x14ac:dyDescent="0.25">
      <c r="D124" s="53"/>
      <c r="E124" s="53"/>
      <c r="F124" s="53"/>
      <c r="G124" s="53"/>
      <c r="H124" s="53"/>
      <c r="I124" s="53"/>
      <c r="J124" s="53"/>
      <c r="K124" s="53"/>
      <c r="L124" s="53"/>
      <c r="M124" s="53"/>
      <c r="N124" s="53"/>
      <c r="O124" s="53"/>
      <c r="P124" s="53"/>
      <c r="Q124" s="53"/>
    </row>
    <row r="125" spans="4:17" x14ac:dyDescent="0.25">
      <c r="D125" s="53"/>
      <c r="E125" s="53"/>
      <c r="F125" s="53"/>
      <c r="G125" s="53"/>
      <c r="H125" s="53"/>
      <c r="I125" s="53"/>
      <c r="J125" s="53"/>
      <c r="K125" s="53"/>
      <c r="L125" s="53"/>
      <c r="M125" s="53"/>
      <c r="N125" s="53"/>
      <c r="O125" s="53"/>
      <c r="P125" s="53"/>
      <c r="Q125" s="53"/>
    </row>
    <row r="126" spans="4:17" x14ac:dyDescent="0.25">
      <c r="D126" s="53"/>
      <c r="E126" s="53"/>
      <c r="F126" s="53"/>
      <c r="G126" s="53"/>
      <c r="H126" s="53"/>
      <c r="I126" s="53"/>
      <c r="J126" s="53"/>
      <c r="K126" s="53"/>
      <c r="L126" s="53"/>
      <c r="M126" s="53"/>
      <c r="N126" s="53"/>
      <c r="O126" s="53"/>
      <c r="P126" s="53"/>
      <c r="Q126" s="53"/>
    </row>
    <row r="127" spans="4:17" x14ac:dyDescent="0.25">
      <c r="D127" s="53"/>
      <c r="E127" s="53"/>
      <c r="F127" s="53"/>
      <c r="G127" s="53"/>
      <c r="H127" s="53"/>
      <c r="I127" s="53"/>
      <c r="J127" s="53"/>
      <c r="K127" s="53"/>
      <c r="L127" s="53"/>
      <c r="M127" s="53"/>
      <c r="N127" s="53"/>
      <c r="O127" s="53"/>
      <c r="P127" s="53"/>
      <c r="Q127" s="53"/>
    </row>
    <row r="128" spans="4:17" x14ac:dyDescent="0.25">
      <c r="D128" s="53"/>
      <c r="E128" s="53"/>
      <c r="F128" s="53"/>
      <c r="G128" s="53"/>
      <c r="H128" s="53"/>
      <c r="I128" s="53"/>
      <c r="J128" s="53"/>
      <c r="K128" s="53"/>
      <c r="L128" s="53"/>
      <c r="M128" s="53"/>
      <c r="N128" s="53"/>
      <c r="O128" s="53"/>
      <c r="P128" s="53"/>
      <c r="Q128" s="53"/>
    </row>
    <row r="129" spans="4:17" x14ac:dyDescent="0.25">
      <c r="D129" s="53"/>
      <c r="E129" s="53"/>
      <c r="F129" s="53"/>
      <c r="G129" s="53"/>
      <c r="H129" s="53"/>
      <c r="I129" s="53"/>
      <c r="J129" s="53"/>
      <c r="K129" s="53"/>
      <c r="L129" s="53"/>
      <c r="M129" s="53"/>
      <c r="N129" s="53"/>
      <c r="O129" s="53"/>
      <c r="P129" s="53"/>
      <c r="Q129" s="53"/>
    </row>
    <row r="130" spans="4:17" x14ac:dyDescent="0.25">
      <c r="D130" s="53"/>
      <c r="E130" s="53"/>
      <c r="F130" s="53"/>
      <c r="G130" s="53"/>
      <c r="H130" s="53"/>
      <c r="I130" s="53"/>
      <c r="J130" s="53"/>
      <c r="K130" s="53"/>
      <c r="L130" s="53"/>
      <c r="M130" s="53"/>
      <c r="N130" s="53"/>
      <c r="O130" s="53"/>
      <c r="P130" s="53"/>
      <c r="Q130" s="53"/>
    </row>
    <row r="131" spans="4:17" x14ac:dyDescent="0.25">
      <c r="D131" s="53"/>
      <c r="E131" s="53"/>
      <c r="F131" s="53"/>
      <c r="G131" s="53"/>
      <c r="H131" s="53"/>
      <c r="I131" s="53"/>
      <c r="J131" s="53"/>
      <c r="K131" s="53"/>
      <c r="L131" s="53"/>
      <c r="M131" s="53"/>
      <c r="N131" s="53"/>
      <c r="O131" s="53"/>
      <c r="P131" s="53"/>
      <c r="Q131" s="53"/>
    </row>
    <row r="132" spans="4:17" x14ac:dyDescent="0.25">
      <c r="D132" s="53"/>
      <c r="E132" s="53"/>
      <c r="F132" s="53"/>
      <c r="G132" s="53"/>
      <c r="H132" s="53"/>
      <c r="I132" s="53"/>
      <c r="J132" s="53"/>
      <c r="K132" s="53"/>
      <c r="L132" s="53"/>
      <c r="M132" s="53"/>
      <c r="N132" s="53"/>
      <c r="O132" s="53"/>
      <c r="P132" s="53"/>
      <c r="Q132" s="53"/>
    </row>
    <row r="133" spans="4:17" x14ac:dyDescent="0.25">
      <c r="D133" s="53"/>
      <c r="E133" s="53"/>
      <c r="F133" s="53"/>
      <c r="G133" s="53"/>
      <c r="H133" s="53"/>
      <c r="I133" s="53"/>
      <c r="J133" s="53"/>
      <c r="K133" s="53"/>
      <c r="L133" s="53"/>
      <c r="M133" s="53"/>
      <c r="N133" s="53"/>
      <c r="O133" s="53"/>
      <c r="P133" s="53"/>
      <c r="Q133" s="53"/>
    </row>
    <row r="134" spans="4:17" x14ac:dyDescent="0.25">
      <c r="D134" s="53"/>
      <c r="E134" s="53"/>
      <c r="F134" s="53"/>
      <c r="G134" s="53"/>
      <c r="H134" s="53"/>
      <c r="I134" s="53"/>
      <c r="J134" s="53"/>
      <c r="K134" s="53"/>
      <c r="L134" s="53"/>
      <c r="M134" s="53"/>
      <c r="N134" s="53"/>
      <c r="O134" s="53"/>
      <c r="P134" s="53"/>
      <c r="Q134" s="53"/>
    </row>
    <row r="135" spans="4:17" x14ac:dyDescent="0.25">
      <c r="D135" s="53"/>
      <c r="E135" s="53"/>
      <c r="F135" s="53"/>
      <c r="G135" s="53"/>
      <c r="H135" s="53"/>
      <c r="I135" s="53"/>
      <c r="J135" s="53"/>
      <c r="K135" s="53"/>
      <c r="L135" s="53"/>
      <c r="M135" s="53"/>
      <c r="N135" s="53"/>
      <c r="O135" s="53"/>
      <c r="P135" s="53"/>
      <c r="Q135" s="53"/>
    </row>
    <row r="136" spans="4:17" x14ac:dyDescent="0.25">
      <c r="D136" s="53"/>
      <c r="E136" s="53"/>
      <c r="F136" s="53"/>
      <c r="G136" s="53"/>
      <c r="H136" s="53"/>
      <c r="I136" s="53"/>
      <c r="J136" s="53"/>
      <c r="K136" s="53"/>
      <c r="L136" s="53"/>
      <c r="M136" s="53"/>
      <c r="N136" s="53"/>
      <c r="O136" s="53"/>
      <c r="P136" s="53"/>
      <c r="Q136" s="53"/>
    </row>
    <row r="137" spans="4:17" x14ac:dyDescent="0.25">
      <c r="D137" s="53"/>
      <c r="E137" s="53"/>
      <c r="F137" s="53"/>
      <c r="G137" s="53"/>
      <c r="H137" s="53"/>
      <c r="I137" s="53"/>
      <c r="J137" s="53"/>
      <c r="K137" s="53"/>
      <c r="L137" s="53"/>
      <c r="M137" s="53"/>
      <c r="N137" s="53"/>
      <c r="O137" s="53"/>
      <c r="P137" s="53"/>
      <c r="Q137" s="53"/>
    </row>
    <row r="138" spans="4:17" x14ac:dyDescent="0.25">
      <c r="D138" s="53"/>
      <c r="E138" s="53"/>
      <c r="F138" s="53"/>
      <c r="G138" s="53"/>
      <c r="H138" s="53"/>
      <c r="I138" s="53"/>
      <c r="J138" s="53"/>
      <c r="K138" s="53"/>
      <c r="L138" s="53"/>
      <c r="M138" s="53"/>
      <c r="N138" s="53"/>
      <c r="O138" s="53"/>
      <c r="P138" s="53"/>
      <c r="Q138" s="53"/>
    </row>
    <row r="139" spans="4:17" x14ac:dyDescent="0.25">
      <c r="D139" s="53"/>
      <c r="E139" s="53"/>
      <c r="F139" s="53"/>
      <c r="G139" s="53"/>
      <c r="H139" s="53"/>
      <c r="I139" s="53"/>
      <c r="J139" s="53"/>
      <c r="K139" s="53"/>
      <c r="L139" s="80"/>
      <c r="M139" s="80"/>
      <c r="N139" s="80"/>
      <c r="O139" s="80"/>
    </row>
  </sheetData>
  <phoneticPr fontId="2" type="noConversion"/>
  <conditionalFormatting sqref="C16:C96">
    <cfRule type="cellIs" dxfId="5" priority="4" stopIfTrue="1" operator="equal">
      <formula>1</formula>
    </cfRule>
    <cfRule type="cellIs" dxfId="4" priority="5" stopIfTrue="1" operator="equal">
      <formula>2</formula>
    </cfRule>
    <cfRule type="cellIs" dxfId="3" priority="6" stopIfTrue="1" operator="equal">
      <formula>3</formula>
    </cfRule>
  </conditionalFormatting>
  <conditionalFormatting sqref="C97:C65536">
    <cfRule type="cellIs" dxfId="2" priority="1" stopIfTrue="1" operator="equal">
      <formula>1</formula>
    </cfRule>
    <cfRule type="cellIs" dxfId="1" priority="2" stopIfTrue="1" operator="equal">
      <formula>2</formula>
    </cfRule>
    <cfRule type="cellIs" dxfId="0" priority="3" stopIfTrue="1" operator="equal">
      <formula>3</formula>
    </cfRule>
  </conditionalFormatting>
  <pageMargins left="0.75" right="0.75" top="0.49" bottom="0.49" header="0.5" footer="0.5"/>
  <pageSetup paperSize="17" scale="59" orientation="landscape" r:id="rId1"/>
  <headerFooter alignWithMargins="0"/>
  <ignoredErrors>
    <ignoredError sqref="K34"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Link xmlns="869f01c7-9749-4a63-9ab1-15a504cb706a" xsi:nil="true"/>
    <ConversationIndex xmlns="869f01c7-9749-4a63-9ab1-15a504cb706a" xsi:nil="true"/>
    <SiteNo xmlns="869f01c7-9749-4a63-9ab1-15a504cb706a" xsi:nil="true"/>
    <ParentFolderElements xmlns="d8080f9f-1777-4d54-b96b-986a1a061d08" xsi:nil="true"/>
    <EmailPreview xmlns="869f01c7-9749-4a63-9ab1-15a504cb706a" xsi:nil="true"/>
    <ContactPersonID xmlns="869f01c7-9749-4a63-9ab1-15a504cb706a" xsi:nil="true"/>
    <TaxCatchAll xmlns="869f01c7-9749-4a63-9ab1-15a504cb706a" xsi:nil="true"/>
    <ConversationTopic xmlns="869f01c7-9749-4a63-9ab1-15a504cb706a" xsi:nil="true"/>
    <aa64e20d071648f599abcb895e794129 xmlns="869f01c7-9749-4a63-9ab1-15a504cb706a">
      <Terms xmlns="http://schemas.microsoft.com/office/infopath/2007/PartnerControls"/>
    </aa64e20d071648f599abcb895e794129>
    <ContactPersonCompany xmlns="869f01c7-9749-4a63-9ab1-15a504cb706a" xsi:nil="true"/>
    <ContactPerson xmlns="869f01c7-9749-4a63-9ab1-15a504cb706a" xsi:nil="true"/>
    <ConversationID xmlns="869f01c7-9749-4a63-9ab1-15a504cb706a" xsi:nil="true"/>
    <DocumentType xmlns="869f01c7-9749-4a63-9ab1-15a504cb706a" xsi:nil="true"/>
    <ContactPersonCompanyID xmlns="869f01c7-9749-4a63-9ab1-15a504cb706a" xsi:nil="true"/>
    <MailDate xmlns="869f01c7-9749-4a63-9ab1-15a504cb706a" xsi:nil="true"/>
    <DocumentDescription xmlns="869f01c7-9749-4a63-9ab1-15a504cb706a" xsi:nil="true"/>
    <Direction xmlns="869f01c7-9749-4a63-9ab1-15a504cb706a" xsi:nil="true"/>
    <LokalitetsID xmlns="869f01c7-9749-4a63-9ab1-15a504cb706a" xsi:nil="true"/>
    <lcf76f155ced4ddcb4097134ff3c332f xmlns="d8080f9f-1777-4d54-b96b-986a1a061d08">
      <Terms xmlns="http://schemas.microsoft.com/office/infopath/2007/PartnerControls"/>
    </lcf76f155ced4ddcb4097134ff3c332f>
    <InvoFolderRelations xmlns="869f01c7-9749-4a63-9ab1-15a504cb706a" xsi:nil="true"/>
  </documentManagement>
</p:properties>
</file>

<file path=customXml/item2.xml><?xml version="1.0" encoding="utf-8"?>
<?mso-contentType ?>
<FormUrls xmlns="http://schemas.microsoft.com/sharepoint/v3/contenttype/forms/url">
  <Display>_layouts/15/SPListForm.aspx?PageType=4</Display>
  <Edit>_layouts/15/SPListForm.aspx?PageType=6</Edit>
  <New>_layouts/15/SPListForm.aspx?PageType=8</New>
  <DisplayComponentId>a7426ea0-eee4-401f-bc74-8bc8b074b115</DisplayComponentId>
  <DisplayComponentProperties>{"settings":["settings-webhook-notification","company_document","akvaplansharepointcomsitesintra/forms-modern/Selskapsdokument"]}</DisplayComponentProperties>
  <EditComponentId>a7426ea0-eee4-401f-bc74-8bc8b074b115</EditComponentId>
  <EditComponentProperties>{"settings":["settings-webhook-notification","company_document","akvaplansharepointcomsitesintra/forms-modern/Selskapsdokument"]}</EditComponentProperties>
  <NewComponentId>a7426ea0-eee4-401f-bc74-8bc8b074b115</NewComponentId>
  <NewComponentProperties>{"settings":["company_document","akvaplansharepointcomsitesintra/forms-modern/Selskapsdokument"]}</NewComponentProperties>
  <DisplayFormTarget>NewWindow</DisplayFormTarget>
  <EditFormTarget>NewWindow</EditFormTarget>
  <NewFormTarget>NewWindow</NewFormTarget>
</FormUrl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Selskapsdokument" ma:contentTypeID="0x0101002C831EF6EA18E04CAA1B72C5E1797CB8001B8A60E4C323084A862A754358135CA7" ma:contentTypeVersion="24" ma:contentTypeDescription="Opprett et nytt dokument." ma:contentTypeScope="" ma:versionID="3d894975ea2784b457b5ad2e54bb618f">
  <xsd:schema xmlns:xsd="http://www.w3.org/2001/XMLSchema" xmlns:xs="http://www.w3.org/2001/XMLSchema" xmlns:p="http://schemas.microsoft.com/office/2006/metadata/properties" xmlns:ns2="869f01c7-9749-4a63-9ab1-15a504cb706a" xmlns:ns3="d8080f9f-1777-4d54-b96b-986a1a061d08" xmlns:ns4="c6ee6751-302f-4264-bb0d-4a4a71442fd0" targetNamespace="http://schemas.microsoft.com/office/2006/metadata/properties" ma:root="true" ma:fieldsID="e1681a60f55f1596f07048950eac16e1" ns2:_="" ns3:_="" ns4:_="">
    <xsd:import namespace="869f01c7-9749-4a63-9ab1-15a504cb706a"/>
    <xsd:import namespace="d8080f9f-1777-4d54-b96b-986a1a061d08"/>
    <xsd:import namespace="c6ee6751-302f-4264-bb0d-4a4a71442fd0"/>
    <xsd:element name="properties">
      <xsd:complexType>
        <xsd:sequence>
          <xsd:element name="documentManagement">
            <xsd:complexType>
              <xsd:all>
                <xsd:element ref="ns2:aa64e20d071648f599abcb895e794129" minOccurs="0"/>
                <xsd:element ref="ns2:TaxCatchAll" minOccurs="0"/>
                <xsd:element ref="ns2:TaxCatchAllLabel" minOccurs="0"/>
                <xsd:element ref="ns2:DocumentType" minOccurs="0"/>
                <xsd:element ref="ns2:ContactPerson" minOccurs="0"/>
                <xsd:element ref="ns2:ContactPersonCompany" minOccurs="0"/>
                <xsd:element ref="ns2:ContactPersonCompanyID" minOccurs="0"/>
                <xsd:element ref="ns2:ContactPersonID" minOccurs="0"/>
                <xsd:element ref="ns2:DocumentDescription" minOccurs="0"/>
                <xsd:element ref="ns2:MailDate" minOccurs="0"/>
                <xsd:element ref="ns2:Direction" minOccurs="0"/>
                <xsd:element ref="ns2:DocLink" minOccurs="0"/>
                <xsd:element ref="ns2:ConversationIndex" minOccurs="0"/>
                <xsd:element ref="ns2:ConversationID" minOccurs="0"/>
                <xsd:element ref="ns2:ConversationTopic" minOccurs="0"/>
                <xsd:element ref="ns2:SiteNo" minOccurs="0"/>
                <xsd:element ref="ns2:EmailPreview" minOccurs="0"/>
                <xsd:element ref="ns2:LokalitetsID" minOccurs="0"/>
                <xsd:element ref="ns3:ParentFolderElements" minOccurs="0"/>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lcf76f155ced4ddcb4097134ff3c332f" minOccurs="0"/>
                <xsd:element ref="ns4:SharedWithUsers" minOccurs="0"/>
                <xsd:element ref="ns4:SharedWithDetails" minOccurs="0"/>
                <xsd:element ref="ns3:MediaServiceObjectDetectorVersions" minOccurs="0"/>
                <xsd:element ref="ns3:MediaServiceSearchProperties" minOccurs="0"/>
                <xsd:element ref="ns2:InvoFolderRelat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9f01c7-9749-4a63-9ab1-15a504cb706a" elementFormDefault="qualified">
    <xsd:import namespace="http://schemas.microsoft.com/office/2006/documentManagement/types"/>
    <xsd:import namespace="http://schemas.microsoft.com/office/infopath/2007/PartnerControls"/>
    <xsd:element name="aa64e20d071648f599abcb895e794129" ma:index="8" nillable="true" ma:taxonomy="true" ma:internalName="aa64e20d071648f599abcb895e794129" ma:taxonomyFieldName="DocumentContent" ma:displayName="Dokumentinnhold" ma:default="" ma:fieldId="{aa64e20d-0716-48f5-99ab-cb895e794129}" ma:sspId="d54d2559-b93f-454f-86dd-63e3f71f9103" ma:termSetId="7ca42414-fd89-4e19-8423-e2baeb9380ca"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9c582b52-5c7d-48d8-b4a6-59779c71702c}" ma:internalName="TaxCatchAll" ma:showField="CatchAllData" ma:web="869f01c7-9749-4a63-9ab1-15a504cb706a">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c582b52-5c7d-48d8-b4a6-59779c71702c}" ma:internalName="TaxCatchAllLabel" ma:readOnly="true" ma:showField="CatchAllDataLabel" ma:web="869f01c7-9749-4a63-9ab1-15a504cb706a">
      <xsd:complexType>
        <xsd:complexContent>
          <xsd:extension base="dms:MultiChoiceLookup">
            <xsd:sequence>
              <xsd:element name="Value" type="dms:Lookup" maxOccurs="unbounded" minOccurs="0" nillable="true"/>
            </xsd:sequence>
          </xsd:extension>
        </xsd:complexContent>
      </xsd:complexType>
    </xsd:element>
    <xsd:element name="DocumentType" ma:index="12" nillable="true" ma:displayName="Dokumenttype" ma:indexed="true" ma:internalName="DocumentType">
      <xsd:simpleType>
        <xsd:restriction base="dms:Choice">
          <xsd:enumeration value="E-post"/>
          <xsd:enumeration value="Dokument"/>
          <xsd:enumeration value="Regneark"/>
          <xsd:enumeration value="PDF"/>
          <xsd:enumeration value="Presentasjon"/>
          <xsd:enumeration value="Bilde"/>
          <xsd:enumeration value="Skjema"/>
          <xsd:enumeration value="Tegning"/>
        </xsd:restriction>
      </xsd:simpleType>
    </xsd:element>
    <xsd:element name="ContactPerson" ma:index="13" nillable="true" ma:displayName="Kontaktperson" ma:internalName="ContactPerson">
      <xsd:simpleType>
        <xsd:restriction base="dms:Text"/>
      </xsd:simpleType>
    </xsd:element>
    <xsd:element name="ContactPersonCompany" ma:index="14" nillable="true" ma:displayName="Kontaktperson selskap" ma:internalName="ContactPersonCompany">
      <xsd:simpleType>
        <xsd:restriction base="dms:Text"/>
      </xsd:simpleType>
    </xsd:element>
    <xsd:element name="ContactPersonCompanyID" ma:index="15" nillable="true" ma:displayName="Kontaktperson selskap ID" ma:internalName="ContactPersonCompanyID">
      <xsd:simpleType>
        <xsd:restriction base="dms:Text"/>
      </xsd:simpleType>
    </xsd:element>
    <xsd:element name="ContactPersonID" ma:index="16" nillable="true" ma:displayName="Kontaktperson ID" ma:internalName="ContactPersonID">
      <xsd:simpleType>
        <xsd:restriction base="dms:Text"/>
      </xsd:simpleType>
    </xsd:element>
    <xsd:element name="DocumentDescription" ma:index="17" nillable="true" ma:displayName="Dokumentbeskrivelse" ma:internalName="DocumentDescription">
      <xsd:simpleType>
        <xsd:restriction base="dms:Note"/>
      </xsd:simpleType>
    </xsd:element>
    <xsd:element name="MailDate" ma:index="18" nillable="true" ma:displayName="E-post dato" ma:format="DateTime" ma:internalName="MailDate">
      <xsd:simpleType>
        <xsd:restriction base="dms:DateTime"/>
      </xsd:simpleType>
    </xsd:element>
    <xsd:element name="Direction" ma:index="19" nillable="true" ma:displayName="E-postretning" ma:internalName="Direction">
      <xsd:simpleType>
        <xsd:restriction base="dms:Choice">
          <xsd:enumeration value="Inngående"/>
          <xsd:enumeration value="Utgående"/>
        </xsd:restriction>
      </xsd:simpleType>
    </xsd:element>
    <xsd:element name="DocLink" ma:index="20" nillable="true" ma:displayName="Dokumentlink" ma:internalName="DocLink">
      <xsd:simpleType>
        <xsd:restriction base="dms:Note"/>
      </xsd:simpleType>
    </xsd:element>
    <xsd:element name="ConversationIndex" ma:index="21" nillable="true" ma:displayName="ConversationIndex" ma:internalName="ConversationIndex">
      <xsd:simpleType>
        <xsd:restriction base="dms:Text"/>
      </xsd:simpleType>
    </xsd:element>
    <xsd:element name="ConversationID" ma:index="22" nillable="true" ma:displayName="Samtale" ma:internalName="ConversationID">
      <xsd:simpleType>
        <xsd:restriction base="dms:Text"/>
      </xsd:simpleType>
    </xsd:element>
    <xsd:element name="ConversationTopic" ma:index="23" nillable="true" ma:displayName="Samtale emne" ma:internalName="ConversationTopic">
      <xsd:simpleType>
        <xsd:restriction base="dms:Text"/>
      </xsd:simpleType>
    </xsd:element>
    <xsd:element name="SiteNo" ma:index="24" nillable="true" ma:displayName="Område Nr" ma:internalName="SiteNo">
      <xsd:simpleType>
        <xsd:restriction base="dms:Text"/>
      </xsd:simpleType>
    </xsd:element>
    <xsd:element name="EmailPreview" ma:index="25" nillable="true" ma:displayName="EmailPreview" ma:internalName="EmailPreview">
      <xsd:simpleType>
        <xsd:restriction base="dms:Note"/>
      </xsd:simpleType>
    </xsd:element>
    <xsd:element name="LokalitetsID" ma:index="26" nillable="true" ma:displayName="LokalitetsID" ma:internalName="LokalitetsID">
      <xsd:simpleType>
        <xsd:restriction base="dms:Text">
          <xsd:maxLength value="255"/>
        </xsd:restriction>
      </xsd:simpleType>
    </xsd:element>
    <xsd:element name="InvoFolderRelations" ma:index="45" nillable="true" ma:displayName="InvoFolderRelations" ma:default="" ma:internalName="InvoFolderRelations">
      <xsd:complexType>
        <xsd:complexContent>
          <xsd:extension base="dms:MultiChoiceFillIn">
            <xsd:sequence>
              <xsd:element name="Value" maxOccurs="unbounded" minOccurs="0" nillable="true">
                <xsd:simpleType>
                  <xsd:union memberTypes="dms:Text">
                    <xsd:simpleType>
                      <xsd:restriction base="dms:Choice">
                        <xsd:enumeration value="Empty"/>
                      </xsd:restriction>
                    </xsd:simpleType>
                  </xsd:un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8080f9f-1777-4d54-b96b-986a1a061d08" elementFormDefault="qualified">
    <xsd:import namespace="http://schemas.microsoft.com/office/2006/documentManagement/types"/>
    <xsd:import namespace="http://schemas.microsoft.com/office/infopath/2007/PartnerControls"/>
    <xsd:element name="ParentFolderElements" ma:index="27" nillable="true" ma:displayName="Mapperelasjoner" ma:list="{aa70836b-871f-42c6-9037-7ff64337cff5}" ma:internalName="ParentFolderElements" ma:showField="Title" ma:web="{c6ee6751-302f-4264-bb0d-4a4a71442fd0}">
      <xsd:complexType>
        <xsd:complexContent>
          <xsd:extension base="dms:MultiChoiceLookup">
            <xsd:sequence>
              <xsd:element name="Value" type="dms:Lookup" maxOccurs="unbounded" minOccurs="0" nillable="true"/>
            </xsd:sequence>
          </xsd:extension>
        </xsd:complexContent>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0" nillable="true" ma:displayName="MediaServiceDateTaken" ma:hidden="true" ma:internalName="MediaServiceDateTaken" ma:readOnly="true">
      <xsd:simpleType>
        <xsd:restriction base="dms:Text"/>
      </xsd:simpleType>
    </xsd:element>
    <xsd:element name="MediaServiceAutoTags" ma:index="31" nillable="true" ma:displayName="Tags" ma:internalName="MediaServiceAutoTags"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Location" ma:index="33" nillable="true" ma:displayName="Location" ma:internalName="MediaServiceLocation"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OCR" ma:index="38" nillable="true" ma:displayName="Extracted Text" ma:internalName="MediaServiceOCR" ma:readOnly="true">
      <xsd:simpleType>
        <xsd:restriction base="dms:Note">
          <xsd:maxLength value="255"/>
        </xsd:restriction>
      </xsd:simpleType>
    </xsd:element>
    <xsd:element name="lcf76f155ced4ddcb4097134ff3c332f" ma:index="40" nillable="true" ma:taxonomy="true" ma:internalName="lcf76f155ced4ddcb4097134ff3c332f" ma:taxonomyFieldName="MediaServiceImageTags" ma:displayName="Bildemerkelapper" ma:readOnly="false" ma:fieldId="{5cf76f15-5ced-4ddc-b409-7134ff3c332f}" ma:taxonomyMulti="true" ma:sspId="d54d2559-b93f-454f-86dd-63e3f71f91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ee6751-302f-4264-bb0d-4a4a71442fd0" elementFormDefault="qualified">
    <xsd:import namespace="http://schemas.microsoft.com/office/2006/documentManagement/types"/>
    <xsd:import namespace="http://schemas.microsoft.com/office/infopath/2007/PartnerControls"/>
    <xsd:element name="SharedWithUsers" ma:index="41"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DB5D90-E223-4C3B-AFFA-E24F0F72EC06}">
  <ds:schemaRefs>
    <ds:schemaRef ds:uri="869f01c7-9749-4a63-9ab1-15a504cb706a"/>
    <ds:schemaRef ds:uri="d8080f9f-1777-4d54-b96b-986a1a061d08"/>
    <ds:schemaRef ds:uri="http://purl.org/dc/elements/1.1/"/>
    <ds:schemaRef ds:uri="http://schemas.microsoft.com/office/2006/metadata/properties"/>
    <ds:schemaRef ds:uri="http://purl.org/dc/dcmitype/"/>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c6ee6751-302f-4264-bb0d-4a4a71442fd0"/>
  </ds:schemaRefs>
</ds:datastoreItem>
</file>

<file path=customXml/itemProps2.xml><?xml version="1.0" encoding="utf-8"?>
<ds:datastoreItem xmlns:ds="http://schemas.openxmlformats.org/officeDocument/2006/customXml" ds:itemID="{B2A585B0-0ABC-4518-843B-50C65FDA90FF}">
  <ds:schemaRefs>
    <ds:schemaRef ds:uri="http://schemas.microsoft.com/sharepoint/v3/contenttype/forms/url"/>
  </ds:schemaRefs>
</ds:datastoreItem>
</file>

<file path=customXml/itemProps3.xml><?xml version="1.0" encoding="utf-8"?>
<ds:datastoreItem xmlns:ds="http://schemas.openxmlformats.org/officeDocument/2006/customXml" ds:itemID="{95DE984C-3CA0-4184-A191-2046ECBADE6C}">
  <ds:schemaRefs>
    <ds:schemaRef ds:uri="http://schemas.microsoft.com/sharepoint/v3/contenttype/forms"/>
  </ds:schemaRefs>
</ds:datastoreItem>
</file>

<file path=customXml/itemProps4.xml><?xml version="1.0" encoding="utf-8"?>
<ds:datastoreItem xmlns:ds="http://schemas.openxmlformats.org/officeDocument/2006/customXml" ds:itemID="{72263400-D153-4248-9A6F-D9BAD2376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9f01c7-9749-4a63-9ab1-15a504cb706a"/>
    <ds:schemaRef ds:uri="d8080f9f-1777-4d54-b96b-986a1a061d08"/>
    <ds:schemaRef ds:uri="c6ee6751-302f-4264-bb0d-4a4a71442f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1245617-35f7-40cc-885c-12dab391e9dd}" enabled="1" method="Standard" siteId="{90e7449b-2e6b-4259-aa80-8ff71a5dc16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Revision Info</vt:lpstr>
      <vt:lpstr>User Guide</vt:lpstr>
      <vt:lpstr>Glider Parameters</vt:lpstr>
      <vt:lpstr>Glider Model</vt:lpstr>
      <vt:lpstr>GliderTypes</vt:lpstr>
      <vt:lpstr>'Glider Model'!Print_Area</vt:lpstr>
      <vt:lpstr>'Glider Parameters'!Print_Area</vt:lpstr>
      <vt:lpstr>'User Guide'!Print_Area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Ehsan Abdi</cp:lastModifiedBy>
  <cp:revision/>
  <dcterms:created xsi:type="dcterms:W3CDTF">2025-02-11T12:21:57Z</dcterms:created>
  <dcterms:modified xsi:type="dcterms:W3CDTF">2026-09-15T16:38:03Z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0x0101002C831EF6EA18E04CAA1B72C5E1797CB8001B8A60E4C323084A862A754358135CA7</vt:lpwstr>
  </property>
  <property fmtid="{D5CDD505-2E9C-101B-9397-08002B2CF9AE}" pid="3" name="MediaServiceImageTags">
    <vt:lpwstr/>
  </property>
  <property fmtid="{D5CDD505-2E9C-101B-9397-08002B2CF9AE}" pid="4" name="DocumentContent">
    <vt:lpwstr/>
  </property>
</Properties>
</file>