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/Projects/DMON2/"/>
    </mc:Choice>
  </mc:AlternateContent>
  <xr:revisionPtr revIDLastSave="0" documentId="13_ncr:1_{F4B77E40-9EA9-4141-A762-207313495649}" xr6:coauthVersionLast="47" xr6:coauthVersionMax="47" xr10:uidLastSave="{00000000-0000-0000-0000-000000000000}"/>
  <bookViews>
    <workbookView xWindow="380" yWindow="460" windowWidth="26640" windowHeight="16660" xr2:uid="{C8DFD7DE-0F4C-F541-A46E-D915AE67E7AB}"/>
  </bookViews>
  <sheets>
    <sheet name="calculations" sheetId="1" r:id="rId1"/>
    <sheet name="existing firmwar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5" i="1"/>
  <c r="C7" i="1"/>
  <c r="C8" i="1"/>
  <c r="D7" i="1"/>
  <c r="B7" i="1"/>
  <c r="B8" i="1"/>
  <c r="D8" i="1"/>
  <c r="C9" i="1" l="1"/>
  <c r="C10" i="1"/>
  <c r="B9" i="1"/>
  <c r="B10" i="1" s="1"/>
  <c r="D9" i="1"/>
  <c r="D10" i="1" s="1"/>
  <c r="B11" i="1" l="1"/>
  <c r="B12" i="1" s="1"/>
  <c r="B14" i="1" s="1"/>
</calcChain>
</file>

<file path=xl/sharedStrings.xml><?xml version="1.0" encoding="utf-8"?>
<sst xmlns="http://schemas.openxmlformats.org/spreadsheetml/2006/main" count="63" uniqueCount="41">
  <si>
    <t>Duty cycle</t>
  </si>
  <si>
    <t>Bytes per day with duty cycling</t>
  </si>
  <si>
    <t>Bytes per day with duty cycling and compression</t>
  </si>
  <si>
    <t>Total bytes per day</t>
  </si>
  <si>
    <t>Total GB per day</t>
  </si>
  <si>
    <t>Memory capacity (GB)</t>
  </si>
  <si>
    <t>Low-frequency</t>
  </si>
  <si>
    <t>High-frequency</t>
  </si>
  <si>
    <t>500 kHz</t>
  </si>
  <si>
    <t>480 kHz</t>
  </si>
  <si>
    <t>250 kHz</t>
  </si>
  <si>
    <t>240 kHz</t>
  </si>
  <si>
    <t>80 kHz</t>
  </si>
  <si>
    <t>60 kHz</t>
  </si>
  <si>
    <t>Note that the DMON sampling rate must a number that when divided into one of the following numbers results in a whole number (not a fraction):</t>
  </si>
  <si>
    <t>e.g., for 2000 Hz:  60000 Hz / 2000 Hz = 30 (30 is a whole number, not a fraction)</t>
  </si>
  <si>
    <t>e.g., for 120000 Hz:  240000 Hz / 120000 Hz = 2 (2 is a whole number, not a fraction)</t>
  </si>
  <si>
    <t>e.g., for 150000 Hz: 150000 divided into any of the numbers above results in a fraction (not a whole number), and therefore can't be used as the DMON sampling rate</t>
  </si>
  <si>
    <t># days to fill memory capacity</t>
  </si>
  <si>
    <t>Firmware</t>
  </si>
  <si>
    <t>Sampling rate</t>
  </si>
  <si>
    <t>Record duration</t>
  </si>
  <si>
    <t>Restart duration</t>
  </si>
  <si>
    <t>Low-frequency (LF)</t>
  </si>
  <si>
    <t>Mid-frequency (MF)</t>
  </si>
  <si>
    <t>High-frequency (HF)</t>
  </si>
  <si>
    <t>Sampling rate (kHz)</t>
  </si>
  <si>
    <t>-</t>
  </si>
  <si>
    <t>Duration units</t>
  </si>
  <si>
    <t>minutes</t>
  </si>
  <si>
    <t>LF2_HF120d1-15m.bin</t>
  </si>
  <si>
    <t>LF2_HF240d30_900s.bin</t>
  </si>
  <si>
    <t>LF2_HF120d30_450s.bin</t>
  </si>
  <si>
    <t>seconds</t>
  </si>
  <si>
    <t>Duty cycle recording duration (seconds)</t>
  </si>
  <si>
    <t>Duty cycle duration (seconds)</t>
  </si>
  <si>
    <t>Mid-frequency</t>
  </si>
  <si>
    <t>Minimum lossless compression ratio*</t>
  </si>
  <si>
    <t>* lossless compression ranges between 2x and 3x and is context dependent.  2x is a conservative estimate.</t>
  </si>
  <si>
    <t>Sample rate (samples per second)</t>
  </si>
  <si>
    <t>Bytes sampled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</si>
</sst>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9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2" borderId="0" xfId="0" applyFill="1"/>
    <xf numFmtId="0" fontId="0" fillId="0" borderId="0" xfId="0" applyFill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9055-9F5C-4E44-A1CB-09C617731F8D}">
  <dimension ref="A1:D27"/>
  <sheetViews>
    <sheetView tabSelected="1" zoomScale="150" zoomScaleNormal="150" workbookViewId="0">
      <selection activeCell="B6" sqref="B6"/>
    </sheetView>
  </sheetViews>
  <sheetFormatPr baseColWidth="10" defaultRowHeight="16" x14ac:dyDescent="0.2"/>
  <cols>
    <col min="1" max="1" width="41.6640625" customWidth="1"/>
    <col min="2" max="4" width="21.83203125" customWidth="1"/>
  </cols>
  <sheetData>
    <row r="1" spans="1:4" x14ac:dyDescent="0.2">
      <c r="A1" s="9"/>
      <c r="B1" s="10" t="s">
        <v>6</v>
      </c>
      <c r="C1" s="10" t="s">
        <v>36</v>
      </c>
      <c r="D1" s="10" t="s">
        <v>7</v>
      </c>
    </row>
    <row r="2" spans="1:4" x14ac:dyDescent="0.2">
      <c r="A2" t="s">
        <v>39</v>
      </c>
      <c r="B2" s="11">
        <v>2000</v>
      </c>
      <c r="C2" s="11">
        <v>15000</v>
      </c>
      <c r="D2" s="11">
        <v>0</v>
      </c>
    </row>
    <row r="3" spans="1:4" x14ac:dyDescent="0.2">
      <c r="A3" t="s">
        <v>34</v>
      </c>
      <c r="B3" s="11">
        <v>60</v>
      </c>
      <c r="C3" s="11">
        <v>30</v>
      </c>
      <c r="D3" s="11">
        <v>30</v>
      </c>
    </row>
    <row r="4" spans="1:4" x14ac:dyDescent="0.2">
      <c r="A4" t="s">
        <v>35</v>
      </c>
      <c r="B4" s="11">
        <v>60</v>
      </c>
      <c r="C4" s="11">
        <v>60</v>
      </c>
      <c r="D4" s="11">
        <v>900</v>
      </c>
    </row>
    <row r="5" spans="1:4" x14ac:dyDescent="0.2">
      <c r="A5" t="s">
        <v>37</v>
      </c>
      <c r="B5" s="11">
        <v>2</v>
      </c>
      <c r="C5">
        <f>B5</f>
        <v>2</v>
      </c>
      <c r="D5">
        <f>B5</f>
        <v>2</v>
      </c>
    </row>
    <row r="6" spans="1:4" x14ac:dyDescent="0.2">
      <c r="B6" s="12"/>
    </row>
    <row r="7" spans="1:4" x14ac:dyDescent="0.2">
      <c r="A7" t="s">
        <v>0</v>
      </c>
      <c r="B7" s="1">
        <f>B3/B4</f>
        <v>1</v>
      </c>
      <c r="C7" s="1">
        <f>C3/C4</f>
        <v>0.5</v>
      </c>
      <c r="D7" s="4">
        <f>D3/D4</f>
        <v>3.3333333333333333E-2</v>
      </c>
    </row>
    <row r="8" spans="1:4" x14ac:dyDescent="0.2">
      <c r="A8" t="s">
        <v>40</v>
      </c>
      <c r="B8">
        <f>B2*2*86400</f>
        <v>345600000</v>
      </c>
      <c r="C8">
        <f>C2*2*86400</f>
        <v>2592000000</v>
      </c>
      <c r="D8">
        <f>D2*2*86400</f>
        <v>0</v>
      </c>
    </row>
    <row r="9" spans="1:4" x14ac:dyDescent="0.2">
      <c r="A9" t="s">
        <v>1</v>
      </c>
      <c r="B9">
        <f>B8*B7</f>
        <v>345600000</v>
      </c>
      <c r="C9">
        <f>C8*C7</f>
        <v>1296000000</v>
      </c>
      <c r="D9">
        <f>D8*D7</f>
        <v>0</v>
      </c>
    </row>
    <row r="10" spans="1:4" x14ac:dyDescent="0.2">
      <c r="A10" t="s">
        <v>2</v>
      </c>
      <c r="B10">
        <f>B9/B5</f>
        <v>172800000</v>
      </c>
      <c r="C10">
        <f>C9/C5</f>
        <v>648000000</v>
      </c>
      <c r="D10">
        <f>D9/D5</f>
        <v>0</v>
      </c>
    </row>
    <row r="11" spans="1:4" x14ac:dyDescent="0.2">
      <c r="A11" t="s">
        <v>3</v>
      </c>
      <c r="B11">
        <f>SUM(B10:D10)</f>
        <v>820800000</v>
      </c>
    </row>
    <row r="12" spans="1:4" x14ac:dyDescent="0.2">
      <c r="A12" t="s">
        <v>4</v>
      </c>
      <c r="B12" s="3">
        <f>B11/1024/1024/1024</f>
        <v>0.76442956924438477</v>
      </c>
      <c r="C12" s="3"/>
    </row>
    <row r="13" spans="1:4" x14ac:dyDescent="0.2">
      <c r="A13" t="s">
        <v>5</v>
      </c>
      <c r="B13">
        <v>64</v>
      </c>
    </row>
    <row r="14" spans="1:4" x14ac:dyDescent="0.2">
      <c r="A14" t="s">
        <v>18</v>
      </c>
      <c r="B14" s="2">
        <f>B13/B12</f>
        <v>83.722559376218328</v>
      </c>
      <c r="C14" s="2"/>
    </row>
    <row r="16" spans="1:4" x14ac:dyDescent="0.2">
      <c r="A16" t="s">
        <v>38</v>
      </c>
    </row>
    <row r="18" spans="1:1" x14ac:dyDescent="0.2">
      <c r="A18" t="s">
        <v>14</v>
      </c>
    </row>
    <row r="19" spans="1:1" x14ac:dyDescent="0.2">
      <c r="A19" t="s">
        <v>8</v>
      </c>
    </row>
    <row r="20" spans="1:1" x14ac:dyDescent="0.2">
      <c r="A20" t="s">
        <v>9</v>
      </c>
    </row>
    <row r="21" spans="1:1" x14ac:dyDescent="0.2">
      <c r="A21" t="s">
        <v>10</v>
      </c>
    </row>
    <row r="22" spans="1:1" x14ac:dyDescent="0.2">
      <c r="A22" t="s">
        <v>11</v>
      </c>
    </row>
    <row r="23" spans="1:1" x14ac:dyDescent="0.2">
      <c r="A23" t="s">
        <v>12</v>
      </c>
    </row>
    <row r="24" spans="1:1" x14ac:dyDescent="0.2">
      <c r="A24" t="s">
        <v>13</v>
      </c>
    </row>
    <row r="25" spans="1:1" x14ac:dyDescent="0.2">
      <c r="A25" t="s">
        <v>15</v>
      </c>
    </row>
    <row r="26" spans="1:1" x14ac:dyDescent="0.2">
      <c r="A26" t="s">
        <v>16</v>
      </c>
    </row>
    <row r="27" spans="1:1" x14ac:dyDescent="0.2">
      <c r="A2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ADCE-6FDD-0044-A102-CF0A46ABE0FC}">
  <dimension ref="A1:O62"/>
  <sheetViews>
    <sheetView zoomScale="150" zoomScaleNormal="150" workbookViewId="0"/>
  </sheetViews>
  <sheetFormatPr baseColWidth="10" defaultRowHeight="16" x14ac:dyDescent="0.2"/>
  <cols>
    <col min="1" max="1" width="25.33203125" style="6" customWidth="1"/>
    <col min="6" max="6" width="2.1640625" customWidth="1"/>
    <col min="11" max="11" width="2.1640625" customWidth="1"/>
  </cols>
  <sheetData>
    <row r="1" spans="1:15" x14ac:dyDescent="0.2">
      <c r="B1" s="13" t="s">
        <v>23</v>
      </c>
      <c r="C1" s="13"/>
      <c r="D1" s="13"/>
      <c r="E1" s="13"/>
      <c r="F1" s="5"/>
      <c r="G1" s="13" t="s">
        <v>24</v>
      </c>
      <c r="H1" s="13"/>
      <c r="I1" s="13"/>
      <c r="J1" s="13"/>
      <c r="K1" s="5"/>
      <c r="L1" s="13" t="s">
        <v>25</v>
      </c>
      <c r="M1" s="13"/>
      <c r="N1" s="13"/>
    </row>
    <row r="2" spans="1:15" ht="34" x14ac:dyDescent="0.2">
      <c r="A2" s="7" t="s">
        <v>19</v>
      </c>
      <c r="B2" s="8" t="s">
        <v>26</v>
      </c>
      <c r="C2" s="8" t="s">
        <v>21</v>
      </c>
      <c r="D2" s="8" t="s">
        <v>22</v>
      </c>
      <c r="E2" s="8" t="s">
        <v>28</v>
      </c>
      <c r="F2" s="8"/>
      <c r="G2" s="8" t="s">
        <v>20</v>
      </c>
      <c r="H2" s="8" t="s">
        <v>21</v>
      </c>
      <c r="I2" s="8" t="s">
        <v>22</v>
      </c>
      <c r="J2" s="8" t="s">
        <v>28</v>
      </c>
      <c r="K2" s="8"/>
      <c r="L2" s="8" t="s">
        <v>20</v>
      </c>
      <c r="M2" s="8" t="s">
        <v>21</v>
      </c>
      <c r="N2" s="8" t="s">
        <v>22</v>
      </c>
      <c r="O2" s="8" t="s">
        <v>28</v>
      </c>
    </row>
    <row r="3" spans="1:15" x14ac:dyDescent="0.2">
      <c r="A3" s="6" t="s">
        <v>30</v>
      </c>
      <c r="B3" s="5">
        <v>2</v>
      </c>
      <c r="C3" s="5">
        <v>1</v>
      </c>
      <c r="D3" s="5">
        <v>1</v>
      </c>
      <c r="E3" s="5" t="s">
        <v>29</v>
      </c>
      <c r="F3" s="5"/>
      <c r="G3" s="5" t="s">
        <v>27</v>
      </c>
      <c r="H3" s="5" t="s">
        <v>27</v>
      </c>
      <c r="I3" s="5" t="s">
        <v>27</v>
      </c>
      <c r="J3" s="5" t="s">
        <v>27</v>
      </c>
      <c r="K3" s="5"/>
      <c r="L3" s="5">
        <v>120</v>
      </c>
      <c r="M3" s="5">
        <v>1</v>
      </c>
      <c r="N3" s="5">
        <v>15</v>
      </c>
      <c r="O3" s="5" t="s">
        <v>29</v>
      </c>
    </row>
    <row r="4" spans="1:15" x14ac:dyDescent="0.2">
      <c r="A4" s="6" t="s">
        <v>31</v>
      </c>
      <c r="B4" s="5">
        <v>2</v>
      </c>
      <c r="C4" s="5">
        <v>1</v>
      </c>
      <c r="D4" s="5">
        <v>1</v>
      </c>
      <c r="E4" s="5" t="s">
        <v>29</v>
      </c>
      <c r="F4" s="5"/>
      <c r="G4" s="5" t="s">
        <v>27</v>
      </c>
      <c r="H4" s="5" t="s">
        <v>27</v>
      </c>
      <c r="I4" s="5" t="s">
        <v>27</v>
      </c>
      <c r="J4" s="5" t="s">
        <v>27</v>
      </c>
      <c r="K4" s="5"/>
      <c r="L4" s="5">
        <v>240</v>
      </c>
      <c r="M4" s="5">
        <v>0.5</v>
      </c>
      <c r="N4" s="5">
        <v>15</v>
      </c>
      <c r="O4" s="5" t="s">
        <v>29</v>
      </c>
    </row>
    <row r="5" spans="1:15" x14ac:dyDescent="0.2">
      <c r="A5" s="6" t="s">
        <v>32</v>
      </c>
      <c r="B5" s="5">
        <v>2</v>
      </c>
      <c r="C5" s="5">
        <v>1</v>
      </c>
      <c r="D5" s="5">
        <v>1</v>
      </c>
      <c r="E5" s="5" t="s">
        <v>29</v>
      </c>
      <c r="F5" s="5"/>
      <c r="G5" s="5" t="s">
        <v>27</v>
      </c>
      <c r="H5" s="5" t="s">
        <v>27</v>
      </c>
      <c r="I5" s="5" t="s">
        <v>27</v>
      </c>
      <c r="J5" s="5" t="s">
        <v>27</v>
      </c>
      <c r="K5" s="5"/>
      <c r="L5" s="5">
        <v>120</v>
      </c>
      <c r="M5" s="5">
        <v>30</v>
      </c>
      <c r="N5" s="5">
        <v>450</v>
      </c>
      <c r="O5" s="5" t="s">
        <v>33</v>
      </c>
    </row>
    <row r="6" spans="1:15" x14ac:dyDescent="0.2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x14ac:dyDescent="0.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2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2:15" x14ac:dyDescent="0.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2:15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2:15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2:15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x14ac:dyDescent="0.2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2:15" x14ac:dyDescent="0.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2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2:15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2:15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2:15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2:15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2:15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5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2:15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2:15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2:15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2:15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2:15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2:15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2:15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2:15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2:15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2:15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2:15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2:15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2:15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2:15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2:15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2:15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2:15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2:15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2:15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2:15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2:15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2:15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</sheetData>
  <mergeCells count="3">
    <mergeCell ref="L1:N1"/>
    <mergeCell ref="B1:E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existing firmware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Baumgartner</dc:creator>
  <cp:lastModifiedBy>Mark Baumgartner</cp:lastModifiedBy>
  <dcterms:created xsi:type="dcterms:W3CDTF">2022-09-20T20:11:24Z</dcterms:created>
  <dcterms:modified xsi:type="dcterms:W3CDTF">2023-02-09T20:36:46Z</dcterms:modified>
</cp:coreProperties>
</file>